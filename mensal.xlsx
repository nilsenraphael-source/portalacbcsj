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NOTEBOOK\Sitema ACBCSJ\"/>
    </mc:Choice>
  </mc:AlternateContent>
  <xr:revisionPtr revIDLastSave="0" documentId="8_{67622BD7-7C90-4AB9-AFE2-2E872118AC3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ripto" sheetId="2" state="hidden" r:id="rId1"/>
    <sheet name="Mensal" sheetId="4" r:id="rId2"/>
    <sheet name="Lançamentos" sheetId="5" r:id="rId3"/>
    <sheet name="Pagamentos" sheetId="6" r:id="rId4"/>
  </sheets>
  <definedNames>
    <definedName name="_xlnm._FilterDatabase" localSheetId="2" hidden="1">Lançamentos!$B$1:$H$994</definedName>
    <definedName name="_xlnm._FilterDatabase" localSheetId="1" hidden="1">Mensal!$B$3:$S$100</definedName>
    <definedName name="_xlnm._FilterDatabase" localSheetId="3" hidden="1">Pagamentos!$B$2:$F$1279</definedName>
    <definedName name="Z_3EA00490_07BF_4308_BF63_42ED36B752CC_.wvu.FilterData" localSheetId="1" hidden="1">Mensal!$A$2:$T$100</definedName>
    <definedName name="Z_E64EA611_DF25_4070_8E94_D094A67D2B4A_.wvu.FilterData" localSheetId="1" hidden="1">Mensal!$A$2:$T$100</definedName>
    <definedName name="Z_E64EA611_DF25_4070_8E94_D094A67D2B4A_.wvu.FilterData" localSheetId="3" hidden="1">Pagamentos!$B$2:$F$1279</definedName>
  </definedNames>
  <calcPr calcId="191029"/>
  <customWorkbookViews>
    <customWorkbookView name="Filtro 2" guid="{3EA00490-07BF-4308-BF63-42ED36B752CC}" maximized="1" windowWidth="0" windowHeight="0" activeSheetId="0"/>
    <customWorkbookView name="Filtro 1" guid="{E64EA611-DF25-4070-8E94-D094A67D2B4A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96" i="5" l="1" a="1"/>
  <c r="H1096" i="5"/>
  <c r="G1096" i="5"/>
  <c r="H1095" i="5" a="1"/>
  <c r="H1095" i="5"/>
  <c r="G1095" i="5"/>
  <c r="H1094" i="5" a="1"/>
  <c r="H1094" i="5"/>
  <c r="G1094" i="5"/>
  <c r="H1093" i="5" a="1"/>
  <c r="H1093" i="5" s="1"/>
  <c r="G1093" i="5"/>
  <c r="H1092" i="5" a="1"/>
  <c r="H1092" i="5"/>
  <c r="G1092" i="5"/>
  <c r="H1091" i="5" a="1"/>
  <c r="H1091" i="5" s="1"/>
  <c r="G1091" i="5"/>
  <c r="H1090" i="5" a="1"/>
  <c r="H1090" i="5" s="1"/>
  <c r="G1090" i="5"/>
  <c r="H1089" i="5" a="1"/>
  <c r="H1089" i="5" s="1"/>
  <c r="G1089" i="5"/>
  <c r="H1088" i="5" a="1"/>
  <c r="H1088" i="5"/>
  <c r="G1088" i="5"/>
  <c r="H1087" i="5" a="1"/>
  <c r="H1087" i="5"/>
  <c r="G1087" i="5"/>
  <c r="H1086" i="5" a="1"/>
  <c r="H1086" i="5"/>
  <c r="G1086" i="5"/>
  <c r="H1085" i="5" a="1"/>
  <c r="H1085" i="5" s="1"/>
  <c r="G1085" i="5"/>
  <c r="H1084" i="5" a="1"/>
  <c r="H1084" i="5"/>
  <c r="G1084" i="5"/>
  <c r="H1083" i="5" a="1"/>
  <c r="H1083" i="5" s="1"/>
  <c r="G1083" i="5"/>
  <c r="H1082" i="5" a="1"/>
  <c r="H1082" i="5" s="1"/>
  <c r="G1082" i="5"/>
  <c r="H1081" i="5" a="1"/>
  <c r="H1081" i="5" s="1"/>
  <c r="G1081" i="5"/>
  <c r="H1080" i="5" a="1"/>
  <c r="H1080" i="5"/>
  <c r="G1080" i="5"/>
  <c r="H1079" i="5" a="1"/>
  <c r="H1079" i="5"/>
  <c r="G1079" i="5"/>
  <c r="H1078" i="5" a="1"/>
  <c r="H1078" i="5"/>
  <c r="G1078" i="5"/>
  <c r="H1077" i="5" a="1"/>
  <c r="H1077" i="5" s="1"/>
  <c r="G1077" i="5"/>
  <c r="H1076" i="5" a="1"/>
  <c r="H1076" i="5" s="1"/>
  <c r="G1076" i="5"/>
  <c r="H1075" i="5" a="1"/>
  <c r="H1075" i="5" s="1"/>
  <c r="G1075" i="5"/>
  <c r="H1074" i="5" a="1"/>
  <c r="H1074" i="5" s="1"/>
  <c r="G1074" i="5"/>
  <c r="H1073" i="5" a="1"/>
  <c r="H1073" i="5" s="1"/>
  <c r="G1073" i="5"/>
  <c r="H1072" i="5" a="1"/>
  <c r="H1072" i="5" s="1"/>
  <c r="G1072" i="5"/>
  <c r="H1071" i="5" a="1"/>
  <c r="H1071" i="5"/>
  <c r="G1071" i="5"/>
  <c r="H1070" i="5" a="1"/>
  <c r="H1070" i="5"/>
  <c r="G1070" i="5"/>
  <c r="H1069" i="5" a="1"/>
  <c r="H1069" i="5" s="1"/>
  <c r="G1069" i="5"/>
  <c r="H1068" i="5" a="1"/>
  <c r="H1068" i="5"/>
  <c r="G1068" i="5"/>
  <c r="H1067" i="5" a="1"/>
  <c r="H1067" i="5" s="1"/>
  <c r="G1067" i="5"/>
  <c r="H1066" i="5" a="1"/>
  <c r="H1066" i="5" s="1"/>
  <c r="G1066" i="5"/>
  <c r="H1065" i="5" a="1"/>
  <c r="H1065" i="5" s="1"/>
  <c r="G1065" i="5"/>
  <c r="H1064" i="5" a="1"/>
  <c r="H1064" i="5" s="1"/>
  <c r="G1064" i="5"/>
  <c r="H1063" i="5" a="1"/>
  <c r="H1063" i="5"/>
  <c r="G1063" i="5"/>
  <c r="H1062" i="5" a="1"/>
  <c r="H1062" i="5"/>
  <c r="G1062" i="5"/>
  <c r="H1061" i="5" a="1"/>
  <c r="H1061" i="5" s="1"/>
  <c r="G1061" i="5"/>
  <c r="H1060" i="5" a="1"/>
  <c r="H1060" i="5"/>
  <c r="G1060" i="5"/>
  <c r="H1059" i="5" a="1"/>
  <c r="H1059" i="5" s="1"/>
  <c r="G1059" i="5"/>
  <c r="H1058" i="5" a="1"/>
  <c r="H1058" i="5" s="1"/>
  <c r="G1058" i="5"/>
  <c r="H1057" i="5" a="1"/>
  <c r="H1057" i="5" s="1"/>
  <c r="G1057" i="5"/>
  <c r="H1056" i="5" a="1"/>
  <c r="H1056" i="5"/>
  <c r="G1056" i="5"/>
  <c r="H1055" i="5" a="1"/>
  <c r="H1055" i="5"/>
  <c r="G1055" i="5"/>
  <c r="H1054" i="5" a="1"/>
  <c r="H1054" i="5"/>
  <c r="G1054" i="5"/>
  <c r="H1053" i="5" a="1"/>
  <c r="H1053" i="5" s="1"/>
  <c r="G1053" i="5"/>
  <c r="H1052" i="5" a="1"/>
  <c r="H1052" i="5" s="1"/>
  <c r="G1052" i="5"/>
  <c r="H1051" i="5" a="1"/>
  <c r="H1051" i="5" s="1"/>
  <c r="G1051" i="5"/>
  <c r="H1050" i="5" a="1"/>
  <c r="H1050" i="5" s="1"/>
  <c r="G1050" i="5"/>
  <c r="H1049" i="5" a="1"/>
  <c r="H1049" i="5" s="1"/>
  <c r="G1049" i="5"/>
  <c r="H1048" i="5" a="1"/>
  <c r="H1048" i="5"/>
  <c r="G1048" i="5"/>
  <c r="H1047" i="5" a="1"/>
  <c r="H1047" i="5"/>
  <c r="G1047" i="5"/>
  <c r="H1046" i="5" a="1"/>
  <c r="H1046" i="5"/>
  <c r="G1046" i="5"/>
  <c r="H1045" i="5" a="1"/>
  <c r="H1045" i="5" s="1"/>
  <c r="G1045" i="5"/>
  <c r="H1044" i="5" a="1"/>
  <c r="H1044" i="5"/>
  <c r="G1044" i="5"/>
  <c r="H1043" i="5" a="1"/>
  <c r="H1043" i="5" s="1"/>
  <c r="G1043" i="5"/>
  <c r="H1042" i="5" a="1"/>
  <c r="H1042" i="5" s="1"/>
  <c r="G1042" i="5"/>
  <c r="H1041" i="5" a="1"/>
  <c r="H1041" i="5" s="1"/>
  <c r="G1041" i="5"/>
  <c r="H1040" i="5" a="1"/>
  <c r="H1040" i="5"/>
  <c r="G1040" i="5"/>
  <c r="H1039" i="5" a="1"/>
  <c r="H1039" i="5"/>
  <c r="G1039" i="5"/>
  <c r="H1038" i="5" a="1"/>
  <c r="H1038" i="5"/>
  <c r="G1038" i="5"/>
  <c r="H1037" i="5" a="1"/>
  <c r="H1037" i="5" s="1"/>
  <c r="G1037" i="5"/>
  <c r="H1036" i="5" a="1"/>
  <c r="H1036" i="5"/>
  <c r="G1036" i="5"/>
  <c r="H1035" i="5" a="1"/>
  <c r="H1035" i="5" s="1"/>
  <c r="G1035" i="5"/>
  <c r="H1034" i="5" a="1"/>
  <c r="H1034" i="5" s="1"/>
  <c r="G1034" i="5"/>
  <c r="H1033" i="5" a="1"/>
  <c r="H1033" i="5" s="1"/>
  <c r="G1033" i="5"/>
  <c r="H1032" i="5" a="1"/>
  <c r="H1032" i="5"/>
  <c r="G1032" i="5"/>
  <c r="H1031" i="5" a="1"/>
  <c r="H1031" i="5"/>
  <c r="G1031" i="5"/>
  <c r="H1030" i="5" a="1"/>
  <c r="H1030" i="5"/>
  <c r="G1030" i="5"/>
  <c r="H1029" i="5" a="1"/>
  <c r="H1029" i="5" s="1"/>
  <c r="G1029" i="5"/>
  <c r="H1028" i="5" a="1"/>
  <c r="H1028" i="5"/>
  <c r="G1028" i="5"/>
  <c r="H1027" i="5" a="1"/>
  <c r="H1027" i="5" s="1"/>
  <c r="G1027" i="5"/>
  <c r="H1026" i="5" a="1"/>
  <c r="H1026" i="5" s="1"/>
  <c r="G1026" i="5"/>
  <c r="H1025" i="5" a="1"/>
  <c r="H1025" i="5" s="1"/>
  <c r="G1025" i="5"/>
  <c r="H1024" i="5" a="1"/>
  <c r="H1024" i="5"/>
  <c r="G1024" i="5"/>
  <c r="H1023" i="5" a="1"/>
  <c r="H1023" i="5"/>
  <c r="G1023" i="5"/>
  <c r="H1022" i="5" a="1"/>
  <c r="H1022" i="5"/>
  <c r="G1022" i="5"/>
  <c r="H1021" i="5" a="1"/>
  <c r="H1021" i="5" s="1"/>
  <c r="G1021" i="5"/>
  <c r="H1020" i="5" a="1"/>
  <c r="H1020" i="5"/>
  <c r="G1020" i="5"/>
  <c r="H1019" i="5" a="1"/>
  <c r="H1019" i="5" s="1"/>
  <c r="G1019" i="5"/>
  <c r="H1018" i="5" a="1"/>
  <c r="H1018" i="5" s="1"/>
  <c r="G1018" i="5"/>
  <c r="H1017" i="5" a="1"/>
  <c r="H1017" i="5" s="1"/>
  <c r="G1017" i="5"/>
  <c r="H1016" i="5" a="1"/>
  <c r="H1016" i="5"/>
  <c r="G1016" i="5"/>
  <c r="H1015" i="5" a="1"/>
  <c r="H1015" i="5"/>
  <c r="G1015" i="5"/>
  <c r="H1014" i="5" a="1"/>
  <c r="H1014" i="5"/>
  <c r="G1014" i="5"/>
  <c r="H1013" i="5" a="1"/>
  <c r="H1013" i="5" s="1"/>
  <c r="G1013" i="5"/>
  <c r="H1012" i="5" a="1"/>
  <c r="H1012" i="5" s="1"/>
  <c r="G1012" i="5"/>
  <c r="H1011" i="5" a="1"/>
  <c r="H1011" i="5" s="1"/>
  <c r="G1011" i="5"/>
  <c r="H1010" i="5" a="1"/>
  <c r="H1010" i="5" s="1"/>
  <c r="G1010" i="5"/>
  <c r="H1009" i="5" a="1"/>
  <c r="H1009" i="5" s="1"/>
  <c r="G1009" i="5"/>
  <c r="H1008" i="5" a="1"/>
  <c r="H1008" i="5" s="1"/>
  <c r="G1008" i="5"/>
  <c r="H1007" i="5" a="1"/>
  <c r="H1007" i="5"/>
  <c r="G1007" i="5"/>
  <c r="H1006" i="5" a="1"/>
  <c r="H1006" i="5"/>
  <c r="G1006" i="5"/>
  <c r="H1005" i="5" a="1"/>
  <c r="H1005" i="5" s="1"/>
  <c r="G1005" i="5"/>
  <c r="H1004" i="5" a="1"/>
  <c r="H1004" i="5"/>
  <c r="G1004" i="5"/>
  <c r="H1003" i="5" a="1"/>
  <c r="H1003" i="5" s="1"/>
  <c r="G1003" i="5"/>
  <c r="H1002" i="5" a="1"/>
  <c r="H1002" i="5" s="1"/>
  <c r="G1002" i="5"/>
  <c r="H1001" i="5" a="1"/>
  <c r="H1001" i="5" s="1"/>
  <c r="G1001" i="5"/>
  <c r="H1000" i="5" a="1"/>
  <c r="H1000" i="5" s="1"/>
  <c r="G1000" i="5"/>
  <c r="H999" i="5" a="1"/>
  <c r="H999" i="5"/>
  <c r="G999" i="5"/>
  <c r="H998" i="5" a="1"/>
  <c r="H998" i="5"/>
  <c r="G998" i="5"/>
  <c r="H997" i="5" a="1"/>
  <c r="H997" i="5" s="1"/>
  <c r="G997" i="5"/>
  <c r="H993" i="5" a="1"/>
  <c r="H993" i="5"/>
  <c r="G993" i="5"/>
  <c r="H992" i="5" a="1"/>
  <c r="H992" i="5"/>
  <c r="G992" i="5"/>
  <c r="H991" i="5" a="1"/>
  <c r="H991" i="5" s="1"/>
  <c r="G991" i="5"/>
  <c r="H990" i="5" a="1"/>
  <c r="H990" i="5" s="1"/>
  <c r="G990" i="5"/>
  <c r="H989" i="5" a="1"/>
  <c r="H989" i="5"/>
  <c r="G989" i="5"/>
  <c r="H988" i="5" a="1"/>
  <c r="H988" i="5"/>
  <c r="G988" i="5"/>
  <c r="H987" i="5" a="1"/>
  <c r="H987" i="5"/>
  <c r="G987" i="5"/>
  <c r="H986" i="5" a="1"/>
  <c r="H986" i="5"/>
  <c r="G986" i="5"/>
  <c r="H985" i="5" a="1"/>
  <c r="H985" i="5" s="1"/>
  <c r="G985" i="5"/>
  <c r="H984" i="5" a="1"/>
  <c r="H984" i="5" s="1"/>
  <c r="G984" i="5"/>
  <c r="H983" i="5" a="1"/>
  <c r="H983" i="5" s="1"/>
  <c r="G983" i="5"/>
  <c r="H982" i="5" a="1"/>
  <c r="H982" i="5" s="1"/>
  <c r="G982" i="5"/>
  <c r="H981" i="5" a="1"/>
  <c r="H981" i="5"/>
  <c r="G981" i="5"/>
  <c r="H980" i="5" a="1"/>
  <c r="H980" i="5"/>
  <c r="G980" i="5"/>
  <c r="H979" i="5" a="1"/>
  <c r="H979" i="5"/>
  <c r="G979" i="5"/>
  <c r="H978" i="5" a="1"/>
  <c r="H978" i="5" s="1"/>
  <c r="G978" i="5"/>
  <c r="H977" i="5" a="1"/>
  <c r="H977" i="5"/>
  <c r="G977" i="5"/>
  <c r="H976" i="5" a="1"/>
  <c r="H976" i="5" s="1"/>
  <c r="G976" i="5"/>
  <c r="H975" i="5" a="1"/>
  <c r="H975" i="5" s="1"/>
  <c r="G975" i="5"/>
  <c r="H974" i="5" a="1"/>
  <c r="H974" i="5" s="1"/>
  <c r="G974" i="5"/>
  <c r="H973" i="5" a="1"/>
  <c r="H973" i="5"/>
  <c r="G973" i="5"/>
  <c r="H972" i="5" a="1"/>
  <c r="H972" i="5"/>
  <c r="G972" i="5"/>
  <c r="H971" i="5" a="1"/>
  <c r="H971" i="5"/>
  <c r="G971" i="5"/>
  <c r="H970" i="5" a="1"/>
  <c r="H970" i="5" s="1"/>
  <c r="G970" i="5"/>
  <c r="H969" i="5" a="1"/>
  <c r="H969" i="5"/>
  <c r="G969" i="5"/>
  <c r="H968" i="5" a="1"/>
  <c r="H968" i="5" s="1"/>
  <c r="G968" i="5"/>
  <c r="H967" i="5" a="1"/>
  <c r="H967" i="5" s="1"/>
  <c r="G967" i="5"/>
  <c r="H966" i="5" a="1"/>
  <c r="H966" i="5" s="1"/>
  <c r="G966" i="5"/>
  <c r="H965" i="5" a="1"/>
  <c r="H965" i="5"/>
  <c r="G965" i="5"/>
  <c r="H964" i="5" a="1"/>
  <c r="H964" i="5"/>
  <c r="G964" i="5"/>
  <c r="H963" i="5" a="1"/>
  <c r="H963" i="5"/>
  <c r="G963" i="5"/>
  <c r="H962" i="5" a="1"/>
  <c r="H962" i="5" s="1"/>
  <c r="G962" i="5"/>
  <c r="H961" i="5" a="1"/>
  <c r="H961" i="5"/>
  <c r="G961" i="5"/>
  <c r="H960" i="5" a="1"/>
  <c r="H960" i="5" s="1"/>
  <c r="G960" i="5"/>
  <c r="H959" i="5" a="1"/>
  <c r="H959" i="5" s="1"/>
  <c r="G959" i="5"/>
  <c r="H958" i="5" a="1"/>
  <c r="H958" i="5" s="1"/>
  <c r="G958" i="5"/>
  <c r="H957" i="5" a="1"/>
  <c r="H957" i="5"/>
  <c r="G957" i="5"/>
  <c r="H956" i="5" a="1"/>
  <c r="H956" i="5"/>
  <c r="G956" i="5"/>
  <c r="H955" i="5" a="1"/>
  <c r="H955" i="5"/>
  <c r="G955" i="5"/>
  <c r="H954" i="5" a="1"/>
  <c r="H954" i="5" s="1"/>
  <c r="G954" i="5"/>
  <c r="H953" i="5" a="1"/>
  <c r="H953" i="5"/>
  <c r="G953" i="5"/>
  <c r="H952" i="5" a="1"/>
  <c r="H952" i="5" s="1"/>
  <c r="G952" i="5"/>
  <c r="H951" i="5" a="1"/>
  <c r="H951" i="5" s="1"/>
  <c r="G951" i="5"/>
  <c r="H950" i="5" a="1"/>
  <c r="H950" i="5" s="1"/>
  <c r="G950" i="5"/>
  <c r="H949" i="5" a="1"/>
  <c r="H949" i="5"/>
  <c r="G949" i="5"/>
  <c r="H948" i="5" a="1"/>
  <c r="H948" i="5"/>
  <c r="G948" i="5"/>
  <c r="H947" i="5" a="1"/>
  <c r="H947" i="5"/>
  <c r="G947" i="5"/>
  <c r="H946" i="5" a="1"/>
  <c r="H946" i="5" s="1"/>
  <c r="G946" i="5"/>
  <c r="H945" i="5" a="1"/>
  <c r="H945" i="5" s="1"/>
  <c r="G945" i="5"/>
  <c r="H944" i="5" a="1"/>
  <c r="H944" i="5" s="1"/>
  <c r="G944" i="5"/>
  <c r="H943" i="5" a="1"/>
  <c r="H943" i="5" s="1"/>
  <c r="G943" i="5"/>
  <c r="H942" i="5" a="1"/>
  <c r="H942" i="5" s="1"/>
  <c r="G942" i="5"/>
  <c r="H941" i="5" a="1"/>
  <c r="H941" i="5" s="1"/>
  <c r="G941" i="5"/>
  <c r="H940" i="5" a="1"/>
  <c r="H940" i="5"/>
  <c r="G940" i="5"/>
  <c r="H939" i="5" a="1"/>
  <c r="H939" i="5"/>
  <c r="G939" i="5"/>
  <c r="H938" i="5" a="1"/>
  <c r="H938" i="5" s="1"/>
  <c r="G938" i="5"/>
  <c r="H937" i="5" a="1"/>
  <c r="H937" i="5"/>
  <c r="G937" i="5"/>
  <c r="H936" i="5" a="1"/>
  <c r="H936" i="5" s="1"/>
  <c r="G936" i="5"/>
  <c r="H935" i="5" a="1"/>
  <c r="H935" i="5" s="1"/>
  <c r="G935" i="5"/>
  <c r="H934" i="5" a="1"/>
  <c r="H934" i="5" s="1"/>
  <c r="G934" i="5"/>
  <c r="H933" i="5" a="1"/>
  <c r="H933" i="5" s="1"/>
  <c r="G933" i="5"/>
  <c r="H932" i="5" a="1"/>
  <c r="H932" i="5"/>
  <c r="G932" i="5"/>
  <c r="H931" i="5" a="1"/>
  <c r="H931" i="5"/>
  <c r="G931" i="5"/>
  <c r="H930" i="5" a="1"/>
  <c r="H930" i="5" s="1"/>
  <c r="G930" i="5"/>
  <c r="H929" i="5" a="1"/>
  <c r="H929" i="5"/>
  <c r="G929" i="5"/>
  <c r="H928" i="5" a="1"/>
  <c r="H928" i="5" s="1"/>
  <c r="G928" i="5"/>
  <c r="H927" i="5" a="1"/>
  <c r="H927" i="5" s="1"/>
  <c r="G927" i="5"/>
  <c r="H926" i="5" a="1"/>
  <c r="H926" i="5" s="1"/>
  <c r="G926" i="5"/>
  <c r="H925" i="5" a="1"/>
  <c r="H925" i="5"/>
  <c r="G925" i="5"/>
  <c r="H924" i="5" a="1"/>
  <c r="H924" i="5"/>
  <c r="G924" i="5"/>
  <c r="H923" i="5" a="1"/>
  <c r="H923" i="5"/>
  <c r="G923" i="5"/>
  <c r="H922" i="5" a="1"/>
  <c r="H922" i="5" s="1"/>
  <c r="G922" i="5"/>
  <c r="H921" i="5" a="1"/>
  <c r="H921" i="5" s="1"/>
  <c r="G921" i="5"/>
  <c r="H920" i="5" a="1"/>
  <c r="H920" i="5" s="1"/>
  <c r="G920" i="5"/>
  <c r="H919" i="5" a="1"/>
  <c r="H919" i="5" s="1"/>
  <c r="G919" i="5"/>
  <c r="H918" i="5" a="1"/>
  <c r="H918" i="5" s="1"/>
  <c r="G918" i="5"/>
  <c r="H917" i="5" a="1"/>
  <c r="H917" i="5"/>
  <c r="G917" i="5"/>
  <c r="H916" i="5" a="1"/>
  <c r="H916" i="5"/>
  <c r="G916" i="5"/>
  <c r="H915" i="5" a="1"/>
  <c r="H915" i="5"/>
  <c r="G915" i="5"/>
  <c r="H914" i="5" a="1"/>
  <c r="H914" i="5" s="1"/>
  <c r="G914" i="5"/>
  <c r="H913" i="5" a="1"/>
  <c r="H913" i="5"/>
  <c r="G913" i="5"/>
  <c r="H912" i="5" a="1"/>
  <c r="H912" i="5" s="1"/>
  <c r="G912" i="5"/>
  <c r="H911" i="5" a="1"/>
  <c r="H911" i="5" s="1"/>
  <c r="G911" i="5"/>
  <c r="H910" i="5" a="1"/>
  <c r="H910" i="5" s="1"/>
  <c r="G910" i="5"/>
  <c r="H909" i="5" a="1"/>
  <c r="H909" i="5"/>
  <c r="G909" i="5"/>
  <c r="H908" i="5" a="1"/>
  <c r="H908" i="5"/>
  <c r="G908" i="5"/>
  <c r="H907" i="5" a="1"/>
  <c r="H907" i="5"/>
  <c r="G907" i="5"/>
  <c r="H906" i="5" a="1"/>
  <c r="H906" i="5" s="1"/>
  <c r="G906" i="5"/>
  <c r="H905" i="5" a="1"/>
  <c r="H905" i="5"/>
  <c r="G905" i="5"/>
  <c r="H904" i="5" a="1"/>
  <c r="H904" i="5" s="1"/>
  <c r="G904" i="5"/>
  <c r="H903" i="5" a="1"/>
  <c r="H903" i="5" s="1"/>
  <c r="G903" i="5"/>
  <c r="H902" i="5" a="1"/>
  <c r="H902" i="5" s="1"/>
  <c r="G902" i="5"/>
  <c r="H901" i="5" a="1"/>
  <c r="H901" i="5"/>
  <c r="G901" i="5"/>
  <c r="H900" i="5" a="1"/>
  <c r="H900" i="5"/>
  <c r="G900" i="5"/>
  <c r="H899" i="5" a="1"/>
  <c r="H899" i="5"/>
  <c r="G899" i="5"/>
  <c r="H898" i="5" a="1"/>
  <c r="H898" i="5" s="1"/>
  <c r="G898" i="5"/>
  <c r="H897" i="5" a="1"/>
  <c r="H897" i="5"/>
  <c r="G897" i="5"/>
  <c r="H896" i="5" a="1"/>
  <c r="H896" i="5"/>
  <c r="G896" i="5"/>
  <c r="H895" i="5" a="1"/>
  <c r="H895" i="5" s="1"/>
  <c r="G895" i="5"/>
  <c r="H894" i="5" a="1"/>
  <c r="H894" i="5" s="1"/>
  <c r="G894" i="5"/>
  <c r="H893" i="5" a="1"/>
  <c r="H893" i="5"/>
  <c r="G893" i="5"/>
  <c r="H892" i="5" a="1"/>
  <c r="H892" i="5"/>
  <c r="G892" i="5"/>
  <c r="H891" i="5" a="1"/>
  <c r="H891" i="5"/>
  <c r="G891" i="5"/>
  <c r="H890" i="5" a="1"/>
  <c r="H890" i="5" s="1"/>
  <c r="G890" i="5"/>
  <c r="H889" i="5" a="1"/>
  <c r="H889" i="5"/>
  <c r="G889" i="5"/>
  <c r="H888" i="5" a="1"/>
  <c r="H888" i="5" s="1"/>
  <c r="G888" i="5"/>
  <c r="H887" i="5" a="1"/>
  <c r="H887" i="5" s="1"/>
  <c r="G887" i="5"/>
  <c r="H886" i="5" a="1"/>
  <c r="H886" i="5" s="1"/>
  <c r="G886" i="5"/>
  <c r="H885" i="5" a="1"/>
  <c r="H885" i="5"/>
  <c r="G885" i="5"/>
  <c r="H884" i="5" a="1"/>
  <c r="H884" i="5"/>
  <c r="G884" i="5"/>
  <c r="H883" i="5" a="1"/>
  <c r="H883" i="5"/>
  <c r="G883" i="5"/>
  <c r="H882" i="5" a="1"/>
  <c r="H882" i="5" s="1"/>
  <c r="G882" i="5"/>
  <c r="H881" i="5" a="1"/>
  <c r="H881" i="5" s="1"/>
  <c r="G881" i="5"/>
  <c r="H880" i="5" a="1"/>
  <c r="H880" i="5" s="1"/>
  <c r="G880" i="5"/>
  <c r="H879" i="5" a="1"/>
  <c r="H879" i="5" s="1"/>
  <c r="G879" i="5"/>
  <c r="H878" i="5" a="1"/>
  <c r="H878" i="5" s="1"/>
  <c r="G878" i="5"/>
  <c r="H877" i="5" a="1"/>
  <c r="H877" i="5" s="1"/>
  <c r="G877" i="5"/>
  <c r="H876" i="5" a="1"/>
  <c r="H876" i="5"/>
  <c r="G876" i="5"/>
  <c r="H875" i="5" a="1"/>
  <c r="H875" i="5"/>
  <c r="G875" i="5"/>
  <c r="H874" i="5" a="1"/>
  <c r="H874" i="5" s="1"/>
  <c r="G874" i="5"/>
  <c r="H873" i="5" a="1"/>
  <c r="H873" i="5"/>
  <c r="G873" i="5"/>
  <c r="H872" i="5" a="1"/>
  <c r="H872" i="5" s="1"/>
  <c r="G872" i="5"/>
  <c r="H871" i="5" a="1"/>
  <c r="H871" i="5" s="1"/>
  <c r="G871" i="5"/>
  <c r="H870" i="5" a="1"/>
  <c r="H870" i="5" s="1"/>
  <c r="G870" i="5"/>
  <c r="H869" i="5" a="1"/>
  <c r="H869" i="5" s="1"/>
  <c r="G869" i="5"/>
  <c r="H868" i="5" a="1"/>
  <c r="H868" i="5"/>
  <c r="G868" i="5"/>
  <c r="H867" i="5" a="1"/>
  <c r="H867" i="5"/>
  <c r="G867" i="5"/>
  <c r="H866" i="5" a="1"/>
  <c r="H866" i="5" s="1"/>
  <c r="G866" i="5"/>
  <c r="H865" i="5" a="1"/>
  <c r="H865" i="5"/>
  <c r="G865" i="5"/>
  <c r="H864" i="5" a="1"/>
  <c r="H864" i="5"/>
  <c r="G864" i="5"/>
  <c r="H863" i="5" a="1"/>
  <c r="H863" i="5" s="1"/>
  <c r="G863" i="5"/>
  <c r="H862" i="5" a="1"/>
  <c r="H862" i="5" s="1"/>
  <c r="G862" i="5"/>
  <c r="H861" i="5" a="1"/>
  <c r="H861" i="5"/>
  <c r="G861" i="5"/>
  <c r="H860" i="5" a="1"/>
  <c r="H860" i="5"/>
  <c r="G860" i="5"/>
  <c r="H859" i="5" a="1"/>
  <c r="H859" i="5"/>
  <c r="G859" i="5"/>
  <c r="H858" i="5" a="1"/>
  <c r="H858" i="5"/>
  <c r="G858" i="5"/>
  <c r="H857" i="5" a="1"/>
  <c r="H857" i="5" s="1"/>
  <c r="G857" i="5"/>
  <c r="H856" i="5" a="1"/>
  <c r="H856" i="5" s="1"/>
  <c r="G856" i="5"/>
  <c r="H855" i="5" a="1"/>
  <c r="H855" i="5" s="1"/>
  <c r="G855" i="5"/>
  <c r="H854" i="5" a="1"/>
  <c r="H854" i="5" s="1"/>
  <c r="G854" i="5"/>
  <c r="H853" i="5" a="1"/>
  <c r="H853" i="5"/>
  <c r="G853" i="5"/>
  <c r="H852" i="5" a="1"/>
  <c r="H852" i="5"/>
  <c r="G852" i="5"/>
  <c r="H851" i="5" a="1"/>
  <c r="H851" i="5"/>
  <c r="G851" i="5"/>
  <c r="H850" i="5" a="1"/>
  <c r="H850" i="5" s="1"/>
  <c r="G850" i="5"/>
  <c r="H849" i="5" a="1"/>
  <c r="H849" i="5"/>
  <c r="G849" i="5"/>
  <c r="H848" i="5" a="1"/>
  <c r="H848" i="5" s="1"/>
  <c r="G848" i="5"/>
  <c r="H847" i="5" a="1"/>
  <c r="H847" i="5" s="1"/>
  <c r="G847" i="5"/>
  <c r="H846" i="5" a="1"/>
  <c r="H846" i="5" s="1"/>
  <c r="G846" i="5"/>
  <c r="H845" i="5" a="1"/>
  <c r="H845" i="5"/>
  <c r="G845" i="5"/>
  <c r="H844" i="5" a="1"/>
  <c r="H844" i="5"/>
  <c r="G844" i="5"/>
  <c r="H843" i="5" a="1"/>
  <c r="H843" i="5"/>
  <c r="G843" i="5"/>
  <c r="H842" i="5" a="1"/>
  <c r="H842" i="5" s="1"/>
  <c r="G842" i="5"/>
  <c r="H841" i="5" a="1"/>
  <c r="H841" i="5"/>
  <c r="G841" i="5"/>
  <c r="H840" i="5" a="1"/>
  <c r="H840" i="5" s="1"/>
  <c r="G840" i="5"/>
  <c r="H839" i="5" a="1"/>
  <c r="H839" i="5" s="1"/>
  <c r="G839" i="5"/>
  <c r="H838" i="5" a="1"/>
  <c r="H838" i="5" s="1"/>
  <c r="G838" i="5"/>
  <c r="H837" i="5" a="1"/>
  <c r="H837" i="5"/>
  <c r="G837" i="5"/>
  <c r="H836" i="5" a="1"/>
  <c r="H836" i="5"/>
  <c r="G836" i="5"/>
  <c r="H835" i="5" a="1"/>
  <c r="H835" i="5"/>
  <c r="G835" i="5"/>
  <c r="H834" i="5" a="1"/>
  <c r="H834" i="5" s="1"/>
  <c r="G834" i="5"/>
  <c r="H833" i="5" a="1"/>
  <c r="H833" i="5"/>
  <c r="G833" i="5"/>
  <c r="H832" i="5" a="1"/>
  <c r="H832" i="5" s="1"/>
  <c r="G832" i="5"/>
  <c r="H831" i="5" a="1"/>
  <c r="H831" i="5" s="1"/>
  <c r="G831" i="5"/>
  <c r="H830" i="5" a="1"/>
  <c r="H830" i="5" s="1"/>
  <c r="G830" i="5"/>
  <c r="H829" i="5" a="1"/>
  <c r="H829" i="5"/>
  <c r="G829" i="5"/>
  <c r="H828" i="5" a="1"/>
  <c r="H828" i="5"/>
  <c r="G828" i="5"/>
  <c r="H827" i="5" a="1"/>
  <c r="H827" i="5"/>
  <c r="G827" i="5"/>
  <c r="H826" i="5" a="1"/>
  <c r="H826" i="5" s="1"/>
  <c r="G826" i="5"/>
  <c r="H825" i="5" a="1"/>
  <c r="H825" i="5"/>
  <c r="G825" i="5"/>
  <c r="H824" i="5" a="1"/>
  <c r="H824" i="5" s="1"/>
  <c r="G824" i="5"/>
  <c r="H823" i="5" a="1"/>
  <c r="H823" i="5" s="1"/>
  <c r="G823" i="5"/>
  <c r="H822" i="5" a="1"/>
  <c r="H822" i="5" s="1"/>
  <c r="G822" i="5"/>
  <c r="H821" i="5" a="1"/>
  <c r="H821" i="5"/>
  <c r="G821" i="5"/>
  <c r="H820" i="5" a="1"/>
  <c r="H820" i="5"/>
  <c r="G820" i="5"/>
  <c r="H819" i="5" a="1"/>
  <c r="H819" i="5"/>
  <c r="G819" i="5"/>
  <c r="H818" i="5" a="1"/>
  <c r="H818" i="5" s="1"/>
  <c r="G818" i="5"/>
  <c r="H817" i="5" a="1"/>
  <c r="H817" i="5" s="1"/>
  <c r="G817" i="5"/>
  <c r="H816" i="5" a="1"/>
  <c r="H816" i="5" s="1"/>
  <c r="G816" i="5"/>
  <c r="H815" i="5" a="1"/>
  <c r="H815" i="5" s="1"/>
  <c r="G815" i="5"/>
  <c r="H814" i="5" a="1"/>
  <c r="H814" i="5" s="1"/>
  <c r="G814" i="5"/>
  <c r="H813" i="5" a="1"/>
  <c r="H813" i="5" s="1"/>
  <c r="G813" i="5"/>
  <c r="H812" i="5" a="1"/>
  <c r="H812" i="5"/>
  <c r="G812" i="5"/>
  <c r="H811" i="5" a="1"/>
  <c r="H811" i="5"/>
  <c r="G811" i="5"/>
  <c r="H810" i="5" a="1"/>
  <c r="H810" i="5" s="1"/>
  <c r="G810" i="5"/>
  <c r="H809" i="5" a="1"/>
  <c r="H809" i="5"/>
  <c r="G809" i="5"/>
  <c r="H808" i="5" a="1"/>
  <c r="H808" i="5" s="1"/>
  <c r="G808" i="5"/>
  <c r="H807" i="5" a="1"/>
  <c r="H807" i="5" s="1"/>
  <c r="G807" i="5"/>
  <c r="H806" i="5" a="1"/>
  <c r="H806" i="5" s="1"/>
  <c r="G806" i="5"/>
  <c r="H805" i="5" a="1"/>
  <c r="H805" i="5" s="1"/>
  <c r="G805" i="5"/>
  <c r="H804" i="5" a="1"/>
  <c r="H804" i="5"/>
  <c r="G804" i="5"/>
  <c r="H803" i="5" a="1"/>
  <c r="H803" i="5"/>
  <c r="G803" i="5"/>
  <c r="H802" i="5" a="1"/>
  <c r="H802" i="5" s="1"/>
  <c r="G802" i="5"/>
  <c r="H801" i="5" a="1"/>
  <c r="H801" i="5"/>
  <c r="G801" i="5"/>
  <c r="H800" i="5" a="1"/>
  <c r="H800" i="5"/>
  <c r="G800" i="5"/>
  <c r="H799" i="5" a="1"/>
  <c r="H799" i="5" s="1"/>
  <c r="G799" i="5"/>
  <c r="H798" i="5" a="1"/>
  <c r="H798" i="5" s="1"/>
  <c r="G798" i="5"/>
  <c r="H797" i="5" a="1"/>
  <c r="H797" i="5"/>
  <c r="G797" i="5"/>
  <c r="H796" i="5" a="1"/>
  <c r="H796" i="5"/>
  <c r="G796" i="5"/>
  <c r="H795" i="5" a="1"/>
  <c r="H795" i="5"/>
  <c r="G795" i="5"/>
  <c r="H794" i="5" a="1"/>
  <c r="H794" i="5" s="1"/>
  <c r="G794" i="5"/>
  <c r="H793" i="5" a="1"/>
  <c r="H793" i="5" s="1"/>
  <c r="G793" i="5"/>
  <c r="H792" i="5" a="1"/>
  <c r="H792" i="5" s="1"/>
  <c r="G792" i="5"/>
  <c r="H791" i="5" a="1"/>
  <c r="H791" i="5" s="1"/>
  <c r="G791" i="5"/>
  <c r="H790" i="5" a="1"/>
  <c r="H790" i="5" s="1"/>
  <c r="G790" i="5"/>
  <c r="H789" i="5" a="1"/>
  <c r="H789" i="5"/>
  <c r="G789" i="5"/>
  <c r="H788" i="5" a="1"/>
  <c r="H788" i="5"/>
  <c r="G788" i="5"/>
  <c r="H787" i="5" a="1"/>
  <c r="H787" i="5"/>
  <c r="G787" i="5"/>
  <c r="H786" i="5" a="1"/>
  <c r="H786" i="5" s="1"/>
  <c r="G786" i="5"/>
  <c r="H785" i="5" a="1"/>
  <c r="H785" i="5"/>
  <c r="G785" i="5"/>
  <c r="H784" i="5" a="1"/>
  <c r="H784" i="5" s="1"/>
  <c r="G784" i="5"/>
  <c r="H783" i="5" a="1"/>
  <c r="H783" i="5" s="1"/>
  <c r="G783" i="5"/>
  <c r="H782" i="5" a="1"/>
  <c r="H782" i="5" s="1"/>
  <c r="G782" i="5"/>
  <c r="H781" i="5" a="1"/>
  <c r="H781" i="5" s="1"/>
  <c r="G781" i="5"/>
  <c r="H780" i="5" a="1"/>
  <c r="H780" i="5"/>
  <c r="G780" i="5"/>
  <c r="H779" i="5" a="1"/>
  <c r="H779" i="5"/>
  <c r="G779" i="5"/>
  <c r="H778" i="5" a="1"/>
  <c r="H778" i="5" s="1"/>
  <c r="G778" i="5"/>
  <c r="H777" i="5" a="1"/>
  <c r="H777" i="5"/>
  <c r="G777" i="5"/>
  <c r="H776" i="5" a="1"/>
  <c r="H776" i="5" s="1"/>
  <c r="G776" i="5"/>
  <c r="H775" i="5" a="1"/>
  <c r="H775" i="5" s="1"/>
  <c r="G775" i="5"/>
  <c r="H774" i="5" a="1"/>
  <c r="H774" i="5" s="1"/>
  <c r="G774" i="5"/>
  <c r="H773" i="5" a="1"/>
  <c r="H773" i="5"/>
  <c r="G773" i="5"/>
  <c r="H772" i="5" a="1"/>
  <c r="H772" i="5"/>
  <c r="G772" i="5"/>
  <c r="H771" i="5" a="1"/>
  <c r="H771" i="5"/>
  <c r="G771" i="5"/>
  <c r="H770" i="5" a="1"/>
  <c r="H770" i="5" s="1"/>
  <c r="G770" i="5"/>
  <c r="H769" i="5" a="1"/>
  <c r="H769" i="5"/>
  <c r="G769" i="5"/>
  <c r="H768" i="5" a="1"/>
  <c r="H768" i="5" s="1"/>
  <c r="G768" i="5"/>
  <c r="H767" i="5" a="1"/>
  <c r="H767" i="5" s="1"/>
  <c r="G767" i="5"/>
  <c r="H766" i="5" a="1"/>
  <c r="H766" i="5" s="1"/>
  <c r="G766" i="5"/>
  <c r="H765" i="5" a="1"/>
  <c r="H765" i="5"/>
  <c r="G765" i="5"/>
  <c r="H764" i="5" a="1"/>
  <c r="H764" i="5"/>
  <c r="G764" i="5"/>
  <c r="H763" i="5" a="1"/>
  <c r="H763" i="5"/>
  <c r="G763" i="5"/>
  <c r="H762" i="5" a="1"/>
  <c r="H762" i="5" s="1"/>
  <c r="G762" i="5"/>
  <c r="H761" i="5" a="1"/>
  <c r="H761" i="5"/>
  <c r="G761" i="5"/>
  <c r="H760" i="5" a="1"/>
  <c r="H760" i="5" s="1"/>
  <c r="G760" i="5"/>
  <c r="H759" i="5" a="1"/>
  <c r="H759" i="5" s="1"/>
  <c r="G759" i="5"/>
  <c r="H758" i="5" a="1"/>
  <c r="H758" i="5" s="1"/>
  <c r="G758" i="5"/>
  <c r="H757" i="5" a="1"/>
  <c r="H757" i="5"/>
  <c r="G757" i="5"/>
  <c r="H756" i="5" a="1"/>
  <c r="H756" i="5"/>
  <c r="G756" i="5"/>
  <c r="H755" i="5" a="1"/>
  <c r="H755" i="5"/>
  <c r="G755" i="5"/>
  <c r="H754" i="5" a="1"/>
  <c r="H754" i="5" s="1"/>
  <c r="G754" i="5"/>
  <c r="H753" i="5" a="1"/>
  <c r="H753" i="5" s="1"/>
  <c r="G753" i="5"/>
  <c r="H752" i="5" a="1"/>
  <c r="H752" i="5" s="1"/>
  <c r="G752" i="5"/>
  <c r="H751" i="5" a="1"/>
  <c r="H751" i="5" s="1"/>
  <c r="G751" i="5"/>
  <c r="H750" i="5" a="1"/>
  <c r="H750" i="5" s="1"/>
  <c r="G750" i="5"/>
  <c r="H749" i="5" a="1"/>
  <c r="H749" i="5" s="1"/>
  <c r="G749" i="5"/>
  <c r="H748" i="5" a="1"/>
  <c r="H748" i="5"/>
  <c r="G748" i="5"/>
  <c r="H747" i="5" a="1"/>
  <c r="H747" i="5"/>
  <c r="G747" i="5"/>
  <c r="H746" i="5" a="1"/>
  <c r="H746" i="5" s="1"/>
  <c r="G746" i="5"/>
  <c r="H745" i="5" a="1"/>
  <c r="H745" i="5"/>
  <c r="G745" i="5"/>
  <c r="H744" i="5" a="1"/>
  <c r="H744" i="5" s="1"/>
  <c r="G744" i="5"/>
  <c r="H743" i="5" a="1"/>
  <c r="H743" i="5" s="1"/>
  <c r="G743" i="5"/>
  <c r="H742" i="5" a="1"/>
  <c r="H742" i="5" s="1"/>
  <c r="G742" i="5"/>
  <c r="H741" i="5" a="1"/>
  <c r="H741" i="5" s="1"/>
  <c r="G741" i="5"/>
  <c r="H740" i="5" a="1"/>
  <c r="H740" i="5"/>
  <c r="G740" i="5"/>
  <c r="H739" i="5" a="1"/>
  <c r="H739" i="5"/>
  <c r="G739" i="5"/>
  <c r="H738" i="5" a="1"/>
  <c r="H738" i="5" s="1"/>
  <c r="G738" i="5"/>
  <c r="H737" i="5" a="1"/>
  <c r="H737" i="5"/>
  <c r="G737" i="5"/>
  <c r="H736" i="5" a="1"/>
  <c r="H736" i="5"/>
  <c r="G736" i="5"/>
  <c r="H735" i="5" a="1"/>
  <c r="H735" i="5" s="1"/>
  <c r="G735" i="5"/>
  <c r="H734" i="5" a="1"/>
  <c r="H734" i="5" s="1"/>
  <c r="G734" i="5"/>
  <c r="H733" i="5" a="1"/>
  <c r="H733" i="5"/>
  <c r="G733" i="5"/>
  <c r="H732" i="5" a="1"/>
  <c r="H732" i="5"/>
  <c r="G732" i="5"/>
  <c r="H731" i="5" a="1"/>
  <c r="H731" i="5"/>
  <c r="G731" i="5"/>
  <c r="H730" i="5" a="1"/>
  <c r="H730" i="5"/>
  <c r="G730" i="5"/>
  <c r="H729" i="5" a="1"/>
  <c r="H729" i="5" s="1"/>
  <c r="G729" i="5"/>
  <c r="H728" i="5" a="1"/>
  <c r="H728" i="5" s="1"/>
  <c r="G728" i="5"/>
  <c r="H727" i="5" a="1"/>
  <c r="H727" i="5" s="1"/>
  <c r="G727" i="5"/>
  <c r="H726" i="5" a="1"/>
  <c r="H726" i="5" s="1"/>
  <c r="G726" i="5"/>
  <c r="H725" i="5" a="1"/>
  <c r="H725" i="5"/>
  <c r="G725" i="5"/>
  <c r="H724" i="5" a="1"/>
  <c r="H724" i="5"/>
  <c r="G724" i="5"/>
  <c r="H723" i="5" a="1"/>
  <c r="H723" i="5"/>
  <c r="G723" i="5"/>
  <c r="H722" i="5" a="1"/>
  <c r="H722" i="5" s="1"/>
  <c r="G722" i="5"/>
  <c r="H721" i="5" a="1"/>
  <c r="H721" i="5"/>
  <c r="G721" i="5"/>
  <c r="H720" i="5" a="1"/>
  <c r="H720" i="5" s="1"/>
  <c r="G720" i="5"/>
  <c r="H719" i="5" a="1"/>
  <c r="H719" i="5" s="1"/>
  <c r="G719" i="5"/>
  <c r="H718" i="5" a="1"/>
  <c r="H718" i="5" s="1"/>
  <c r="G718" i="5"/>
  <c r="H717" i="5" a="1"/>
  <c r="H717" i="5"/>
  <c r="G717" i="5"/>
  <c r="H716" i="5" a="1"/>
  <c r="H716" i="5"/>
  <c r="G716" i="5"/>
  <c r="H715" i="5" a="1"/>
  <c r="H715" i="5"/>
  <c r="G715" i="5"/>
  <c r="H714" i="5" a="1"/>
  <c r="H714" i="5" s="1"/>
  <c r="G714" i="5"/>
  <c r="H713" i="5" a="1"/>
  <c r="H713" i="5"/>
  <c r="G713" i="5"/>
  <c r="H712" i="5" a="1"/>
  <c r="H712" i="5" s="1"/>
  <c r="G712" i="5"/>
  <c r="H711" i="5" a="1"/>
  <c r="H711" i="5" s="1"/>
  <c r="G711" i="5"/>
  <c r="H710" i="5" a="1"/>
  <c r="H710" i="5" s="1"/>
  <c r="G710" i="5"/>
  <c r="H709" i="5" a="1"/>
  <c r="H709" i="5"/>
  <c r="G709" i="5"/>
  <c r="H708" i="5" a="1"/>
  <c r="H708" i="5"/>
  <c r="G708" i="5"/>
  <c r="H707" i="5" a="1"/>
  <c r="H707" i="5"/>
  <c r="G707" i="5"/>
  <c r="H706" i="5" a="1"/>
  <c r="H706" i="5" s="1"/>
  <c r="G706" i="5"/>
  <c r="H705" i="5" a="1"/>
  <c r="H705" i="5"/>
  <c r="G705" i="5"/>
  <c r="H704" i="5" a="1"/>
  <c r="H704" i="5"/>
  <c r="G704" i="5"/>
  <c r="H703" i="5" a="1"/>
  <c r="H703" i="5" s="1"/>
  <c r="G703" i="5"/>
  <c r="H702" i="5" a="1"/>
  <c r="H702" i="5" s="1"/>
  <c r="G702" i="5"/>
  <c r="H701" i="5" a="1"/>
  <c r="H701" i="5"/>
  <c r="G701" i="5"/>
  <c r="H700" i="5" a="1"/>
  <c r="H700" i="5"/>
  <c r="G700" i="5"/>
  <c r="H699" i="5" a="1"/>
  <c r="H699" i="5"/>
  <c r="G699" i="5"/>
  <c r="H698" i="5" a="1"/>
  <c r="H698" i="5"/>
  <c r="G698" i="5"/>
  <c r="H697" i="5" a="1"/>
  <c r="H697" i="5"/>
  <c r="G697" i="5"/>
  <c r="H696" i="5" a="1"/>
  <c r="H696" i="5" s="1"/>
  <c r="G696" i="5"/>
  <c r="H695" i="5" a="1"/>
  <c r="H695" i="5" s="1"/>
  <c r="G695" i="5"/>
  <c r="H694" i="5" a="1"/>
  <c r="H694" i="5" s="1"/>
  <c r="G694" i="5"/>
  <c r="H693" i="5" a="1"/>
  <c r="H693" i="5"/>
  <c r="G693" i="5"/>
  <c r="H692" i="5" a="1"/>
  <c r="H692" i="5"/>
  <c r="G692" i="5"/>
  <c r="H691" i="5" a="1"/>
  <c r="H691" i="5"/>
  <c r="G691" i="5"/>
  <c r="H690" i="5" a="1"/>
  <c r="H690" i="5" s="1"/>
  <c r="G690" i="5"/>
  <c r="H689" i="5" a="1"/>
  <c r="H689" i="5" s="1"/>
  <c r="G689" i="5"/>
  <c r="H688" i="5" a="1"/>
  <c r="H688" i="5" s="1"/>
  <c r="G688" i="5"/>
  <c r="H687" i="5" a="1"/>
  <c r="H687" i="5" s="1"/>
  <c r="G687" i="5"/>
  <c r="H686" i="5" a="1"/>
  <c r="H686" i="5" s="1"/>
  <c r="G686" i="5"/>
  <c r="H685" i="5" a="1"/>
  <c r="H685" i="5" s="1"/>
  <c r="G685" i="5"/>
  <c r="H684" i="5" a="1"/>
  <c r="H684" i="5"/>
  <c r="G684" i="5"/>
  <c r="H683" i="5" a="1"/>
  <c r="H683" i="5"/>
  <c r="G683" i="5"/>
  <c r="H682" i="5" a="1"/>
  <c r="H682" i="5" s="1"/>
  <c r="G682" i="5"/>
  <c r="H681" i="5" a="1"/>
  <c r="H681" i="5"/>
  <c r="G681" i="5"/>
  <c r="H680" i="5" a="1"/>
  <c r="H680" i="5" s="1"/>
  <c r="G680" i="5"/>
  <c r="H679" i="5" a="1"/>
  <c r="H679" i="5" s="1"/>
  <c r="G679" i="5"/>
  <c r="H678" i="5" a="1"/>
  <c r="H678" i="5" s="1"/>
  <c r="G678" i="5"/>
  <c r="H677" i="5" a="1"/>
  <c r="H677" i="5" s="1"/>
  <c r="G677" i="5"/>
  <c r="H676" i="5" a="1"/>
  <c r="H676" i="5"/>
  <c r="G676" i="5"/>
  <c r="H675" i="5" a="1"/>
  <c r="H675" i="5"/>
  <c r="G675" i="5"/>
  <c r="H674" i="5" a="1"/>
  <c r="H674" i="5" s="1"/>
  <c r="G674" i="5"/>
  <c r="H673" i="5" a="1"/>
  <c r="H673" i="5"/>
  <c r="G673" i="5"/>
  <c r="H672" i="5" a="1"/>
  <c r="H672" i="5"/>
  <c r="G672" i="5"/>
  <c r="H671" i="5" a="1"/>
  <c r="H671" i="5" s="1"/>
  <c r="G671" i="5"/>
  <c r="H670" i="5" a="1"/>
  <c r="H670" i="5" s="1"/>
  <c r="G670" i="5"/>
  <c r="H669" i="5" a="1"/>
  <c r="H669" i="5"/>
  <c r="G669" i="5"/>
  <c r="H668" i="5" a="1"/>
  <c r="H668" i="5"/>
  <c r="G668" i="5"/>
  <c r="H667" i="5" a="1"/>
  <c r="H667" i="5"/>
  <c r="G667" i="5"/>
  <c r="H666" i="5" a="1"/>
  <c r="H666" i="5"/>
  <c r="G666" i="5"/>
  <c r="H665" i="5" a="1"/>
  <c r="H665" i="5" s="1"/>
  <c r="G665" i="5"/>
  <c r="H664" i="5" a="1"/>
  <c r="H664" i="5" s="1"/>
  <c r="G664" i="5"/>
  <c r="H663" i="5" a="1"/>
  <c r="H663" i="5" s="1"/>
  <c r="G663" i="5"/>
  <c r="H662" i="5" a="1"/>
  <c r="H662" i="5" s="1"/>
  <c r="G662" i="5"/>
  <c r="H661" i="5" a="1"/>
  <c r="H661" i="5"/>
  <c r="G661" i="5"/>
  <c r="H660" i="5" a="1"/>
  <c r="H660" i="5"/>
  <c r="G660" i="5"/>
  <c r="H659" i="5" a="1"/>
  <c r="H659" i="5"/>
  <c r="G659" i="5"/>
  <c r="H658" i="5" a="1"/>
  <c r="H658" i="5" s="1"/>
  <c r="G658" i="5"/>
  <c r="H657" i="5" a="1"/>
  <c r="H657" i="5"/>
  <c r="G657" i="5"/>
  <c r="H656" i="5" a="1"/>
  <c r="H656" i="5" s="1"/>
  <c r="G656" i="5"/>
  <c r="H655" i="5" a="1"/>
  <c r="H655" i="5" s="1"/>
  <c r="G655" i="5"/>
  <c r="H654" i="5" a="1"/>
  <c r="H654" i="5" s="1"/>
  <c r="G654" i="5"/>
  <c r="H653" i="5" a="1"/>
  <c r="H653" i="5"/>
  <c r="G653" i="5"/>
  <c r="H652" i="5" a="1"/>
  <c r="H652" i="5"/>
  <c r="G652" i="5"/>
  <c r="H651" i="5" a="1"/>
  <c r="H651" i="5"/>
  <c r="G651" i="5"/>
  <c r="H650" i="5" a="1"/>
  <c r="H650" i="5" s="1"/>
  <c r="G650" i="5"/>
  <c r="H649" i="5" a="1"/>
  <c r="H649" i="5"/>
  <c r="G649" i="5"/>
  <c r="H648" i="5" a="1"/>
  <c r="H648" i="5" s="1"/>
  <c r="G648" i="5"/>
  <c r="H647" i="5" a="1"/>
  <c r="H647" i="5" s="1"/>
  <c r="G647" i="5"/>
  <c r="H646" i="5" a="1"/>
  <c r="H646" i="5" s="1"/>
  <c r="G646" i="5"/>
  <c r="H645" i="5" a="1"/>
  <c r="H645" i="5"/>
  <c r="G645" i="5"/>
  <c r="H644" i="5" a="1"/>
  <c r="H644" i="5"/>
  <c r="G644" i="5"/>
  <c r="H643" i="5" a="1"/>
  <c r="H643" i="5"/>
  <c r="G643" i="5"/>
  <c r="H642" i="5" a="1"/>
  <c r="H642" i="5" s="1"/>
  <c r="G642" i="5"/>
  <c r="H641" i="5" a="1"/>
  <c r="H641" i="5"/>
  <c r="G641" i="5"/>
  <c r="H640" i="5" a="1"/>
  <c r="H640" i="5" s="1"/>
  <c r="G640" i="5"/>
  <c r="H639" i="5" a="1"/>
  <c r="H639" i="5" s="1"/>
  <c r="G639" i="5"/>
  <c r="H638" i="5" a="1"/>
  <c r="H638" i="5" s="1"/>
  <c r="G638" i="5"/>
  <c r="H637" i="5" a="1"/>
  <c r="H637" i="5"/>
  <c r="G637" i="5"/>
  <c r="H636" i="5" a="1"/>
  <c r="H636" i="5"/>
  <c r="G636" i="5"/>
  <c r="H635" i="5" a="1"/>
  <c r="H635" i="5"/>
  <c r="G635" i="5"/>
  <c r="H634" i="5" a="1"/>
  <c r="H634" i="5" s="1"/>
  <c r="G634" i="5"/>
  <c r="H633" i="5" a="1"/>
  <c r="H633" i="5"/>
  <c r="G633" i="5"/>
  <c r="H632" i="5" a="1"/>
  <c r="H632" i="5" s="1"/>
  <c r="G632" i="5"/>
  <c r="H631" i="5" a="1"/>
  <c r="H631" i="5" s="1"/>
  <c r="G631" i="5"/>
  <c r="H630" i="5" a="1"/>
  <c r="H630" i="5" s="1"/>
  <c r="G630" i="5"/>
  <c r="H629" i="5" a="1"/>
  <c r="H629" i="5"/>
  <c r="G629" i="5"/>
  <c r="H628" i="5" a="1"/>
  <c r="H628" i="5"/>
  <c r="G628" i="5"/>
  <c r="H627" i="5" a="1"/>
  <c r="H627" i="5"/>
  <c r="G627" i="5"/>
  <c r="H626" i="5" a="1"/>
  <c r="H626" i="5" s="1"/>
  <c r="G626" i="5"/>
  <c r="H625" i="5" a="1"/>
  <c r="H625" i="5" s="1"/>
  <c r="G625" i="5"/>
  <c r="H624" i="5" a="1"/>
  <c r="H624" i="5" s="1"/>
  <c r="G624" i="5"/>
  <c r="H623" i="5" a="1"/>
  <c r="H623" i="5"/>
  <c r="G623" i="5"/>
  <c r="H622" i="5" a="1"/>
  <c r="H622" i="5" s="1"/>
  <c r="G622" i="5"/>
  <c r="H621" i="5" a="1"/>
  <c r="H621" i="5" s="1"/>
  <c r="G621" i="5"/>
  <c r="H620" i="5" a="1"/>
  <c r="H620" i="5"/>
  <c r="G620" i="5"/>
  <c r="H619" i="5" a="1"/>
  <c r="H619" i="5"/>
  <c r="G619" i="5"/>
  <c r="H618" i="5" a="1"/>
  <c r="H618" i="5"/>
  <c r="G618" i="5"/>
  <c r="H617" i="5" a="1"/>
  <c r="H617" i="5" s="1"/>
  <c r="G617" i="5"/>
  <c r="H616" i="5" a="1"/>
  <c r="H616" i="5" s="1"/>
  <c r="G616" i="5"/>
  <c r="H615" i="5" a="1"/>
  <c r="H615" i="5" s="1"/>
  <c r="G615" i="5"/>
  <c r="H614" i="5" a="1"/>
  <c r="H614" i="5" s="1"/>
  <c r="G614" i="5"/>
  <c r="H613" i="5" a="1"/>
  <c r="H613" i="5" s="1"/>
  <c r="G613" i="5"/>
  <c r="H612" i="5" a="1"/>
  <c r="H612" i="5" s="1"/>
  <c r="G612" i="5"/>
  <c r="H611" i="5" a="1"/>
  <c r="H611" i="5"/>
  <c r="G611" i="5"/>
  <c r="H610" i="5" a="1"/>
  <c r="H610" i="5" s="1"/>
  <c r="G610" i="5"/>
  <c r="H609" i="5" a="1"/>
  <c r="H609" i="5"/>
  <c r="G609" i="5"/>
  <c r="H608" i="5" a="1"/>
  <c r="H608" i="5"/>
  <c r="G608" i="5"/>
  <c r="H607" i="5" a="1"/>
  <c r="H607" i="5"/>
  <c r="G607" i="5"/>
  <c r="H606" i="5" a="1"/>
  <c r="H606" i="5" s="1"/>
  <c r="G606" i="5"/>
  <c r="H605" i="5" a="1"/>
  <c r="H605" i="5"/>
  <c r="G605" i="5"/>
  <c r="H604" i="5" a="1"/>
  <c r="H604" i="5"/>
  <c r="G604" i="5"/>
  <c r="H603" i="5" a="1"/>
  <c r="H603" i="5"/>
  <c r="G603" i="5"/>
  <c r="H602" i="5" a="1"/>
  <c r="H602" i="5"/>
  <c r="G602" i="5"/>
  <c r="H601" i="5" a="1"/>
  <c r="H601" i="5" s="1"/>
  <c r="G601" i="5"/>
  <c r="H600" i="5" a="1"/>
  <c r="H600" i="5"/>
  <c r="G600" i="5"/>
  <c r="H599" i="5" a="1"/>
  <c r="H599" i="5" s="1"/>
  <c r="G599" i="5"/>
  <c r="H598" i="5" a="1"/>
  <c r="H598" i="5" s="1"/>
  <c r="G598" i="5"/>
  <c r="H597" i="5" a="1"/>
  <c r="H597" i="5"/>
  <c r="G597" i="5"/>
  <c r="H596" i="5" a="1"/>
  <c r="H596" i="5" s="1"/>
  <c r="G596" i="5"/>
  <c r="H595" i="5" a="1"/>
  <c r="H595" i="5"/>
  <c r="G595" i="5"/>
  <c r="H594" i="5" a="1"/>
  <c r="H594" i="5" s="1"/>
  <c r="G594" i="5"/>
  <c r="H593" i="5" a="1"/>
  <c r="H593" i="5"/>
  <c r="G593" i="5"/>
  <c r="H592" i="5" a="1"/>
  <c r="H592" i="5" s="1"/>
  <c r="G592" i="5"/>
  <c r="H591" i="5" a="1"/>
  <c r="H591" i="5"/>
  <c r="G591" i="5"/>
  <c r="H590" i="5" a="1"/>
  <c r="H590" i="5" s="1"/>
  <c r="G590" i="5"/>
  <c r="H589" i="5" a="1"/>
  <c r="H589" i="5" s="1"/>
  <c r="G589" i="5"/>
  <c r="H588" i="5" a="1"/>
  <c r="H588" i="5"/>
  <c r="G588" i="5"/>
  <c r="H587" i="5" a="1"/>
  <c r="H587" i="5"/>
  <c r="G587" i="5"/>
  <c r="H586" i="5" a="1"/>
  <c r="H586" i="5" s="1"/>
  <c r="G586" i="5"/>
  <c r="H585" i="5" a="1"/>
  <c r="H585" i="5" s="1"/>
  <c r="G585" i="5"/>
  <c r="H584" i="5" a="1"/>
  <c r="H584" i="5"/>
  <c r="G584" i="5"/>
  <c r="H583" i="5" a="1"/>
  <c r="H583" i="5" s="1"/>
  <c r="G583" i="5"/>
  <c r="H582" i="5" a="1"/>
  <c r="H582" i="5" s="1"/>
  <c r="G582" i="5"/>
  <c r="H581" i="5" a="1"/>
  <c r="H581" i="5"/>
  <c r="G581" i="5"/>
  <c r="H580" i="5" a="1"/>
  <c r="H580" i="5" s="1"/>
  <c r="G580" i="5"/>
  <c r="H579" i="5" a="1"/>
  <c r="H579" i="5"/>
  <c r="G579" i="5"/>
  <c r="H578" i="5" a="1"/>
  <c r="H578" i="5" s="1"/>
  <c r="G578" i="5"/>
  <c r="H577" i="5" a="1"/>
  <c r="H577" i="5"/>
  <c r="G577" i="5"/>
  <c r="H576" i="5" a="1"/>
  <c r="H576" i="5" s="1"/>
  <c r="G576" i="5"/>
  <c r="H575" i="5" a="1"/>
  <c r="H575" i="5" s="1"/>
  <c r="G575" i="5"/>
  <c r="H574" i="5" a="1"/>
  <c r="H574" i="5" s="1"/>
  <c r="G574" i="5"/>
  <c r="H573" i="5" a="1"/>
  <c r="H573" i="5" s="1"/>
  <c r="G573" i="5"/>
  <c r="H572" i="5" a="1"/>
  <c r="H572" i="5"/>
  <c r="G572" i="5"/>
  <c r="H571" i="5" a="1"/>
  <c r="H571" i="5"/>
  <c r="G571" i="5"/>
  <c r="H570" i="5" a="1"/>
  <c r="H570" i="5"/>
  <c r="G570" i="5"/>
  <c r="H569" i="5" a="1"/>
  <c r="H569" i="5" s="1"/>
  <c r="G569" i="5"/>
  <c r="H568" i="5" a="1"/>
  <c r="H568" i="5"/>
  <c r="G568" i="5"/>
  <c r="H567" i="5" a="1"/>
  <c r="H567" i="5"/>
  <c r="G567" i="5"/>
  <c r="H566" i="5" a="1"/>
  <c r="H566" i="5" s="1"/>
  <c r="G566" i="5"/>
  <c r="H565" i="5" a="1"/>
  <c r="H565" i="5"/>
  <c r="G565" i="5"/>
  <c r="H564" i="5" a="1"/>
  <c r="H564" i="5"/>
  <c r="G564" i="5"/>
  <c r="H563" i="5" a="1"/>
  <c r="H563" i="5"/>
  <c r="G563" i="5"/>
  <c r="H562" i="5" a="1"/>
  <c r="H562" i="5" s="1"/>
  <c r="G562" i="5"/>
  <c r="H561" i="5" a="1"/>
  <c r="H561" i="5"/>
  <c r="G561" i="5"/>
  <c r="H560" i="5" a="1"/>
  <c r="H560" i="5" s="1"/>
  <c r="G560" i="5"/>
  <c r="H559" i="5" a="1"/>
  <c r="H559" i="5"/>
  <c r="G559" i="5"/>
  <c r="H558" i="5" a="1"/>
  <c r="H558" i="5" s="1"/>
  <c r="G558" i="5"/>
  <c r="H557" i="5" a="1"/>
  <c r="H557" i="5" s="1"/>
  <c r="G557" i="5"/>
  <c r="H556" i="5" a="1"/>
  <c r="H556" i="5"/>
  <c r="G556" i="5"/>
  <c r="H555" i="5" a="1"/>
  <c r="H555" i="5" s="1"/>
  <c r="G555" i="5"/>
  <c r="H554" i="5" a="1"/>
  <c r="H554" i="5"/>
  <c r="G554" i="5"/>
  <c r="H553" i="5" a="1"/>
  <c r="H553" i="5"/>
  <c r="G553" i="5"/>
  <c r="H552" i="5" a="1"/>
  <c r="H552" i="5"/>
  <c r="G552" i="5"/>
  <c r="H551" i="5" a="1"/>
  <c r="H551" i="5" s="1"/>
  <c r="G551" i="5"/>
  <c r="H550" i="5" a="1"/>
  <c r="H550" i="5" s="1"/>
  <c r="G550" i="5"/>
  <c r="H549" i="5" a="1"/>
  <c r="H549" i="5" s="1"/>
  <c r="G549" i="5"/>
  <c r="H548" i="5" a="1"/>
  <c r="H548" i="5"/>
  <c r="G548" i="5"/>
  <c r="H547" i="5" a="1"/>
  <c r="H547" i="5" s="1"/>
  <c r="G547" i="5"/>
  <c r="H546" i="5" a="1"/>
  <c r="H546" i="5"/>
  <c r="G546" i="5"/>
  <c r="H545" i="5" a="1"/>
  <c r="H545" i="5" s="1"/>
  <c r="G545" i="5"/>
  <c r="H544" i="5" a="1"/>
  <c r="H544" i="5"/>
  <c r="G544" i="5"/>
  <c r="H543" i="5" a="1"/>
  <c r="H543" i="5" s="1"/>
  <c r="G543" i="5"/>
  <c r="H542" i="5" a="1"/>
  <c r="H542" i="5" s="1"/>
  <c r="G542" i="5"/>
  <c r="H541" i="5" a="1"/>
  <c r="H541" i="5" s="1"/>
  <c r="G541" i="5"/>
  <c r="H540" i="5" a="1"/>
  <c r="H540" i="5"/>
  <c r="G540" i="5"/>
  <c r="H539" i="5" a="1"/>
  <c r="H539" i="5" s="1"/>
  <c r="G539" i="5"/>
  <c r="H538" i="5" a="1"/>
  <c r="H538" i="5"/>
  <c r="G538" i="5"/>
  <c r="H537" i="5" a="1"/>
  <c r="H537" i="5" s="1"/>
  <c r="G537" i="5"/>
  <c r="H536" i="5" a="1"/>
  <c r="H536" i="5" s="1"/>
  <c r="G536" i="5"/>
  <c r="H535" i="5" a="1"/>
  <c r="H535" i="5" s="1"/>
  <c r="G535" i="5"/>
  <c r="H534" i="5" a="1"/>
  <c r="H534" i="5"/>
  <c r="G534" i="5"/>
  <c r="H533" i="5" a="1"/>
  <c r="H533" i="5" s="1"/>
  <c r="G533" i="5"/>
  <c r="H532" i="5" a="1"/>
  <c r="H532" i="5"/>
  <c r="G532" i="5"/>
  <c r="H531" i="5" a="1"/>
  <c r="H531" i="5"/>
  <c r="G531" i="5"/>
  <c r="H530" i="5" a="1"/>
  <c r="H530" i="5"/>
  <c r="G530" i="5"/>
  <c r="H529" i="5" a="1"/>
  <c r="H529" i="5" s="1"/>
  <c r="G529" i="5"/>
  <c r="H528" i="5" a="1"/>
  <c r="H528" i="5" s="1"/>
  <c r="G528" i="5"/>
  <c r="H527" i="5" a="1"/>
  <c r="H527" i="5" s="1"/>
  <c r="G527" i="5"/>
  <c r="H526" i="5" a="1"/>
  <c r="H526" i="5" s="1"/>
  <c r="G526" i="5"/>
  <c r="H525" i="5" a="1"/>
  <c r="H525" i="5" s="1"/>
  <c r="G525" i="5"/>
  <c r="H524" i="5" a="1"/>
  <c r="H524" i="5"/>
  <c r="G524" i="5"/>
  <c r="H523" i="5" a="1"/>
  <c r="H523" i="5" s="1"/>
  <c r="G523" i="5"/>
  <c r="H522" i="5" a="1"/>
  <c r="H522" i="5"/>
  <c r="G522" i="5"/>
  <c r="H521" i="5" a="1"/>
  <c r="H521" i="5" s="1"/>
  <c r="G521" i="5"/>
  <c r="H520" i="5" a="1"/>
  <c r="H520" i="5"/>
  <c r="G520" i="5"/>
  <c r="H519" i="5" a="1"/>
  <c r="H519" i="5" s="1"/>
  <c r="G519" i="5"/>
  <c r="H518" i="5" a="1"/>
  <c r="H518" i="5" s="1"/>
  <c r="G518" i="5"/>
  <c r="H517" i="5" a="1"/>
  <c r="H517" i="5" s="1"/>
  <c r="G517" i="5"/>
  <c r="H516" i="5" a="1"/>
  <c r="H516" i="5"/>
  <c r="G516" i="5"/>
  <c r="H515" i="5" a="1"/>
  <c r="H515" i="5" s="1"/>
  <c r="G515" i="5"/>
  <c r="H514" i="5" a="1"/>
  <c r="H514" i="5"/>
  <c r="G514" i="5"/>
  <c r="H513" i="5" a="1"/>
  <c r="H513" i="5" s="1"/>
  <c r="G513" i="5"/>
  <c r="H512" i="5" a="1"/>
  <c r="H512" i="5"/>
  <c r="G512" i="5"/>
  <c r="H511" i="5" a="1"/>
  <c r="H511" i="5" s="1"/>
  <c r="G511" i="5"/>
  <c r="H510" i="5" a="1"/>
  <c r="H510" i="5" s="1"/>
  <c r="G510" i="5"/>
  <c r="H509" i="5" a="1"/>
  <c r="H509" i="5" s="1"/>
  <c r="G509" i="5"/>
  <c r="H508" i="5" a="1"/>
  <c r="H508" i="5"/>
  <c r="G508" i="5"/>
  <c r="H507" i="5" a="1"/>
  <c r="H507" i="5" s="1"/>
  <c r="G507" i="5"/>
  <c r="H506" i="5" a="1"/>
  <c r="H506" i="5"/>
  <c r="G506" i="5"/>
  <c r="H505" i="5" a="1"/>
  <c r="H505" i="5" s="1"/>
  <c r="G505" i="5"/>
  <c r="H504" i="5" a="1"/>
  <c r="H504" i="5" s="1"/>
  <c r="G504" i="5"/>
  <c r="H503" i="5" a="1"/>
  <c r="H503" i="5" s="1"/>
  <c r="G503" i="5"/>
  <c r="H502" i="5" a="1"/>
  <c r="H502" i="5" s="1"/>
  <c r="G502" i="5"/>
  <c r="H501" i="5" a="1"/>
  <c r="H501" i="5" s="1"/>
  <c r="G501" i="5"/>
  <c r="H500" i="5" a="1"/>
  <c r="H500" i="5"/>
  <c r="G500" i="5"/>
  <c r="H499" i="5" a="1"/>
  <c r="H499" i="5" s="1"/>
  <c r="G499" i="5"/>
  <c r="H498" i="5" a="1"/>
  <c r="H498" i="5"/>
  <c r="G498" i="5"/>
  <c r="H497" i="5" a="1"/>
  <c r="H497" i="5" s="1"/>
  <c r="G497" i="5"/>
  <c r="H496" i="5" a="1"/>
  <c r="H496" i="5" s="1"/>
  <c r="G496" i="5"/>
  <c r="H495" i="5" a="1"/>
  <c r="H495" i="5" s="1"/>
  <c r="G495" i="5"/>
  <c r="H494" i="5" a="1"/>
  <c r="H494" i="5" s="1"/>
  <c r="G494" i="5"/>
  <c r="H493" i="5" a="1"/>
  <c r="H493" i="5" s="1"/>
  <c r="G493" i="5"/>
  <c r="H492" i="5" a="1"/>
  <c r="H492" i="5"/>
  <c r="G492" i="5"/>
  <c r="H491" i="5" a="1"/>
  <c r="H491" i="5" s="1"/>
  <c r="G491" i="5"/>
  <c r="H490" i="5" a="1"/>
  <c r="H490" i="5"/>
  <c r="G490" i="5"/>
  <c r="H489" i="5" a="1"/>
  <c r="H489" i="5" s="1"/>
  <c r="G489" i="5"/>
  <c r="H488" i="5" a="1"/>
  <c r="H488" i="5"/>
  <c r="G488" i="5"/>
  <c r="H487" i="5" a="1"/>
  <c r="H487" i="5" s="1"/>
  <c r="G487" i="5"/>
  <c r="H486" i="5" a="1"/>
  <c r="H486" i="5" s="1"/>
  <c r="G486" i="5"/>
  <c r="H485" i="5" a="1"/>
  <c r="H485" i="5" s="1"/>
  <c r="G485" i="5"/>
  <c r="H484" i="5" a="1"/>
  <c r="H484" i="5"/>
  <c r="G484" i="5"/>
  <c r="H483" i="5" a="1"/>
  <c r="H483" i="5" s="1"/>
  <c r="G483" i="5"/>
  <c r="H482" i="5" a="1"/>
  <c r="H482" i="5"/>
  <c r="G482" i="5"/>
  <c r="H481" i="5" a="1"/>
  <c r="H481" i="5" s="1"/>
  <c r="G481" i="5"/>
  <c r="H480" i="5" a="1"/>
  <c r="H480" i="5"/>
  <c r="G480" i="5"/>
  <c r="H479" i="5" a="1"/>
  <c r="H479" i="5" s="1"/>
  <c r="G479" i="5"/>
  <c r="H478" i="5" a="1"/>
  <c r="H478" i="5" s="1"/>
  <c r="G478" i="5"/>
  <c r="H477" i="5" a="1"/>
  <c r="H477" i="5" s="1"/>
  <c r="G477" i="5"/>
  <c r="H476" i="5" a="1"/>
  <c r="H476" i="5"/>
  <c r="G476" i="5"/>
  <c r="H475" i="5" a="1"/>
  <c r="H475" i="5" s="1"/>
  <c r="G475" i="5"/>
  <c r="H474" i="5" a="1"/>
  <c r="H474" i="5"/>
  <c r="G474" i="5"/>
  <c r="H473" i="5" a="1"/>
  <c r="H473" i="5"/>
  <c r="G473" i="5"/>
  <c r="H472" i="5" a="1"/>
  <c r="H472" i="5" s="1"/>
  <c r="G472" i="5"/>
  <c r="H471" i="5" a="1"/>
  <c r="H471" i="5" s="1"/>
  <c r="G471" i="5"/>
  <c r="H470" i="5" a="1"/>
  <c r="H470" i="5"/>
  <c r="G470" i="5"/>
  <c r="H469" i="5" a="1"/>
  <c r="H469" i="5" s="1"/>
  <c r="G469" i="5"/>
  <c r="H468" i="5" a="1"/>
  <c r="H468" i="5"/>
  <c r="G468" i="5"/>
  <c r="H467" i="5" a="1"/>
  <c r="H467" i="5" s="1"/>
  <c r="G467" i="5"/>
  <c r="H466" i="5" a="1"/>
  <c r="H466" i="5"/>
  <c r="G466" i="5"/>
  <c r="H465" i="5" a="1"/>
  <c r="H465" i="5" s="1"/>
  <c r="G465" i="5"/>
  <c r="H464" i="5" a="1"/>
  <c r="H464" i="5" s="1"/>
  <c r="G464" i="5"/>
  <c r="H463" i="5" a="1"/>
  <c r="H463" i="5" s="1"/>
  <c r="G463" i="5"/>
  <c r="H462" i="5" a="1"/>
  <c r="H462" i="5" s="1"/>
  <c r="G462" i="5"/>
  <c r="H461" i="5" a="1"/>
  <c r="H461" i="5" s="1"/>
  <c r="G461" i="5"/>
  <c r="H460" i="5" a="1"/>
  <c r="H460" i="5"/>
  <c r="G460" i="5"/>
  <c r="H459" i="5" a="1"/>
  <c r="H459" i="5" s="1"/>
  <c r="G459" i="5"/>
  <c r="H458" i="5" a="1"/>
  <c r="H458" i="5"/>
  <c r="G458" i="5"/>
  <c r="H457" i="5" a="1"/>
  <c r="H457" i="5" s="1"/>
  <c r="G457" i="5"/>
  <c r="H456" i="5" a="1"/>
  <c r="H456" i="5"/>
  <c r="G456" i="5"/>
  <c r="H455" i="5" a="1"/>
  <c r="H455" i="5" s="1"/>
  <c r="G455" i="5"/>
  <c r="H454" i="5" a="1"/>
  <c r="H454" i="5" s="1"/>
  <c r="G454" i="5"/>
  <c r="H453" i="5" a="1"/>
  <c r="H453" i="5" s="1"/>
  <c r="G453" i="5"/>
  <c r="H452" i="5" a="1"/>
  <c r="H452" i="5"/>
  <c r="G452" i="5"/>
  <c r="H451" i="5" a="1"/>
  <c r="H451" i="5" s="1"/>
  <c r="G451" i="5"/>
  <c r="H450" i="5" a="1"/>
  <c r="H450" i="5"/>
  <c r="G450" i="5"/>
  <c r="H449" i="5" a="1"/>
  <c r="H449" i="5" s="1"/>
  <c r="G449" i="5"/>
  <c r="H448" i="5" a="1"/>
  <c r="H448" i="5"/>
  <c r="G448" i="5"/>
  <c r="H447" i="5" a="1"/>
  <c r="H447" i="5" s="1"/>
  <c r="G447" i="5"/>
  <c r="H446" i="5" a="1"/>
  <c r="H446" i="5" s="1"/>
  <c r="G446" i="5"/>
  <c r="H445" i="5" a="1"/>
  <c r="H445" i="5" s="1"/>
  <c r="G445" i="5"/>
  <c r="H444" i="5" a="1"/>
  <c r="H444" i="5"/>
  <c r="G444" i="5"/>
  <c r="H443" i="5" a="1"/>
  <c r="H443" i="5" s="1"/>
  <c r="G443" i="5"/>
  <c r="H442" i="5" a="1"/>
  <c r="H442" i="5"/>
  <c r="G442" i="5"/>
  <c r="H441" i="5" a="1"/>
  <c r="H441" i="5"/>
  <c r="G441" i="5"/>
  <c r="H440" i="5" a="1"/>
  <c r="H440" i="5" s="1"/>
  <c r="G440" i="5"/>
  <c r="H439" i="5" a="1"/>
  <c r="H439" i="5" s="1"/>
  <c r="G439" i="5"/>
  <c r="H438" i="5" a="1"/>
  <c r="H438" i="5"/>
  <c r="G438" i="5"/>
  <c r="H437" i="5" a="1"/>
  <c r="H437" i="5" s="1"/>
  <c r="G437" i="5"/>
  <c r="H436" i="5" a="1"/>
  <c r="H436" i="5"/>
  <c r="G436" i="5"/>
  <c r="H435" i="5" a="1"/>
  <c r="H435" i="5"/>
  <c r="G435" i="5"/>
  <c r="H434" i="5" a="1"/>
  <c r="H434" i="5"/>
  <c r="G434" i="5"/>
  <c r="H433" i="5" a="1"/>
  <c r="H433" i="5" s="1"/>
  <c r="G433" i="5"/>
  <c r="H432" i="5" a="1"/>
  <c r="H432" i="5" s="1"/>
  <c r="G432" i="5"/>
  <c r="H431" i="5" a="1"/>
  <c r="H431" i="5" s="1"/>
  <c r="G431" i="5"/>
  <c r="H430" i="5" a="1"/>
  <c r="H430" i="5" s="1"/>
  <c r="G430" i="5"/>
  <c r="H429" i="5" a="1"/>
  <c r="H429" i="5" s="1"/>
  <c r="G429" i="5"/>
  <c r="H428" i="5" a="1"/>
  <c r="H428" i="5"/>
  <c r="G428" i="5"/>
  <c r="H427" i="5" a="1"/>
  <c r="H427" i="5" s="1"/>
  <c r="G427" i="5"/>
  <c r="H426" i="5" a="1"/>
  <c r="H426" i="5"/>
  <c r="G426" i="5"/>
  <c r="H425" i="5" a="1"/>
  <c r="H425" i="5" s="1"/>
  <c r="G425" i="5"/>
  <c r="H424" i="5" a="1"/>
  <c r="H424" i="5"/>
  <c r="G424" i="5"/>
  <c r="H423" i="5" a="1"/>
  <c r="H423" i="5" s="1"/>
  <c r="G423" i="5"/>
  <c r="H422" i="5" a="1"/>
  <c r="H422" i="5" s="1"/>
  <c r="G422" i="5"/>
  <c r="H421" i="5" a="1"/>
  <c r="H421" i="5" s="1"/>
  <c r="G421" i="5"/>
  <c r="H420" i="5" a="1"/>
  <c r="H420" i="5"/>
  <c r="G420" i="5"/>
  <c r="H419" i="5" a="1"/>
  <c r="H419" i="5" s="1"/>
  <c r="G419" i="5"/>
  <c r="H418" i="5" a="1"/>
  <c r="H418" i="5"/>
  <c r="G418" i="5"/>
  <c r="H417" i="5" a="1"/>
  <c r="H417" i="5" s="1"/>
  <c r="G417" i="5"/>
  <c r="H416" i="5" a="1"/>
  <c r="H416" i="5"/>
  <c r="G416" i="5"/>
  <c r="H415" i="5" a="1"/>
  <c r="H415" i="5" s="1"/>
  <c r="G415" i="5"/>
  <c r="H414" i="5" a="1"/>
  <c r="H414" i="5" s="1"/>
  <c r="G414" i="5"/>
  <c r="H413" i="5" a="1"/>
  <c r="H413" i="5" s="1"/>
  <c r="G413" i="5"/>
  <c r="H412" i="5" a="1"/>
  <c r="H412" i="5"/>
  <c r="G412" i="5"/>
  <c r="H411" i="5" a="1"/>
  <c r="H411" i="5" s="1"/>
  <c r="G411" i="5"/>
  <c r="H410" i="5" a="1"/>
  <c r="H410" i="5"/>
  <c r="G410" i="5"/>
  <c r="H409" i="5" a="1"/>
  <c r="H409" i="5" s="1"/>
  <c r="G409" i="5"/>
  <c r="H408" i="5" a="1"/>
  <c r="H408" i="5" s="1"/>
  <c r="G408" i="5"/>
  <c r="H407" i="5" a="1"/>
  <c r="H407" i="5" s="1"/>
  <c r="G407" i="5"/>
  <c r="H406" i="5" a="1"/>
  <c r="H406" i="5"/>
  <c r="G406" i="5"/>
  <c r="H405" i="5" a="1"/>
  <c r="H405" i="5" s="1"/>
  <c r="G405" i="5"/>
  <c r="H404" i="5" a="1"/>
  <c r="H404" i="5"/>
  <c r="G404" i="5"/>
  <c r="H403" i="5" a="1"/>
  <c r="H403" i="5"/>
  <c r="G403" i="5"/>
  <c r="H402" i="5" a="1"/>
  <c r="H402" i="5"/>
  <c r="G402" i="5"/>
  <c r="H401" i="5" a="1"/>
  <c r="H401" i="5" s="1"/>
  <c r="G401" i="5"/>
  <c r="H400" i="5" a="1"/>
  <c r="H400" i="5" s="1"/>
  <c r="G400" i="5"/>
  <c r="H399" i="5" a="1"/>
  <c r="H399" i="5" s="1"/>
  <c r="G399" i="5"/>
  <c r="H398" i="5" a="1"/>
  <c r="H398" i="5" s="1"/>
  <c r="G398" i="5"/>
  <c r="H397" i="5" a="1"/>
  <c r="H397" i="5" s="1"/>
  <c r="G397" i="5"/>
  <c r="H396" i="5" a="1"/>
  <c r="H396" i="5"/>
  <c r="G396" i="5"/>
  <c r="H395" i="5" a="1"/>
  <c r="H395" i="5" s="1"/>
  <c r="G395" i="5"/>
  <c r="H394" i="5" a="1"/>
  <c r="H394" i="5"/>
  <c r="G394" i="5"/>
  <c r="H393" i="5" a="1"/>
  <c r="H393" i="5" s="1"/>
  <c r="G393" i="5"/>
  <c r="H392" i="5" a="1"/>
  <c r="H392" i="5"/>
  <c r="G392" i="5"/>
  <c r="H391" i="5" a="1"/>
  <c r="H391" i="5" s="1"/>
  <c r="G391" i="5"/>
  <c r="H390" i="5" a="1"/>
  <c r="H390" i="5" s="1"/>
  <c r="G390" i="5"/>
  <c r="H389" i="5" a="1"/>
  <c r="H389" i="5" s="1"/>
  <c r="G389" i="5"/>
  <c r="H388" i="5" a="1"/>
  <c r="H388" i="5"/>
  <c r="G388" i="5"/>
  <c r="H387" i="5" a="1"/>
  <c r="H387" i="5" s="1"/>
  <c r="G387" i="5"/>
  <c r="H386" i="5" a="1"/>
  <c r="H386" i="5"/>
  <c r="G386" i="5"/>
  <c r="H385" i="5" a="1"/>
  <c r="H385" i="5" s="1"/>
  <c r="G385" i="5"/>
  <c r="H384" i="5" a="1"/>
  <c r="H384" i="5"/>
  <c r="G384" i="5"/>
  <c r="H383" i="5" a="1"/>
  <c r="H383" i="5" s="1"/>
  <c r="G383" i="5"/>
  <c r="H382" i="5" a="1"/>
  <c r="H382" i="5" s="1"/>
  <c r="G382" i="5"/>
  <c r="H381" i="5" a="1"/>
  <c r="H381" i="5" s="1"/>
  <c r="G381" i="5"/>
  <c r="H380" i="5" a="1"/>
  <c r="H380" i="5"/>
  <c r="G380" i="5"/>
  <c r="H379" i="5" a="1"/>
  <c r="H379" i="5" s="1"/>
  <c r="G379" i="5"/>
  <c r="H378" i="5" a="1"/>
  <c r="H378" i="5"/>
  <c r="G378" i="5"/>
  <c r="H377" i="5" a="1"/>
  <c r="H377" i="5" s="1"/>
  <c r="G377" i="5"/>
  <c r="H376" i="5" a="1"/>
  <c r="H376" i="5"/>
  <c r="G376" i="5"/>
  <c r="H375" i="5" a="1"/>
  <c r="H375" i="5" s="1"/>
  <c r="G375" i="5"/>
  <c r="H374" i="5" a="1"/>
  <c r="H374" i="5" s="1"/>
  <c r="G374" i="5"/>
  <c r="H373" i="5" a="1"/>
  <c r="H373" i="5" s="1"/>
  <c r="G373" i="5"/>
  <c r="H372" i="5" a="1"/>
  <c r="H372" i="5"/>
  <c r="G372" i="5"/>
  <c r="H371" i="5" a="1"/>
  <c r="H371" i="5" s="1"/>
  <c r="G371" i="5"/>
  <c r="H370" i="5" a="1"/>
  <c r="H370" i="5"/>
  <c r="G370" i="5"/>
  <c r="H369" i="5" a="1"/>
  <c r="H369" i="5" s="1"/>
  <c r="G369" i="5"/>
  <c r="H368" i="5" a="1"/>
  <c r="H368" i="5" s="1"/>
  <c r="G368" i="5"/>
  <c r="H367" i="5" a="1"/>
  <c r="H367" i="5" s="1"/>
  <c r="G367" i="5"/>
  <c r="H366" i="5" a="1"/>
  <c r="H366" i="5" s="1"/>
  <c r="G366" i="5"/>
  <c r="H365" i="5" a="1"/>
  <c r="H365" i="5" s="1"/>
  <c r="G365" i="5"/>
  <c r="H364" i="5" a="1"/>
  <c r="H364" i="5"/>
  <c r="G364" i="5"/>
  <c r="H363" i="5" a="1"/>
  <c r="H363" i="5" s="1"/>
  <c r="G363" i="5"/>
  <c r="H362" i="5" a="1"/>
  <c r="H362" i="5"/>
  <c r="G362" i="5"/>
  <c r="H361" i="5" a="1"/>
  <c r="H361" i="5" s="1"/>
  <c r="G361" i="5"/>
  <c r="H360" i="5" a="1"/>
  <c r="H360" i="5"/>
  <c r="G360" i="5"/>
  <c r="H359" i="5" a="1"/>
  <c r="H359" i="5" s="1"/>
  <c r="G359" i="5"/>
  <c r="H358" i="5" a="1"/>
  <c r="H358" i="5" s="1"/>
  <c r="G358" i="5"/>
  <c r="H357" i="5" a="1"/>
  <c r="H357" i="5" s="1"/>
  <c r="G357" i="5"/>
  <c r="H356" i="5" a="1"/>
  <c r="H356" i="5"/>
  <c r="G356" i="5"/>
  <c r="H355" i="5" a="1"/>
  <c r="H355" i="5" s="1"/>
  <c r="G355" i="5"/>
  <c r="H354" i="5" a="1"/>
  <c r="H354" i="5"/>
  <c r="G354" i="5"/>
  <c r="H353" i="5" a="1"/>
  <c r="H353" i="5" s="1"/>
  <c r="G353" i="5"/>
  <c r="H352" i="5" a="1"/>
  <c r="H352" i="5"/>
  <c r="G352" i="5"/>
  <c r="H351" i="5" a="1"/>
  <c r="H351" i="5" s="1"/>
  <c r="G351" i="5"/>
  <c r="H350" i="5" a="1"/>
  <c r="H350" i="5" s="1"/>
  <c r="G350" i="5"/>
  <c r="H349" i="5" a="1"/>
  <c r="H349" i="5" s="1"/>
  <c r="G349" i="5"/>
  <c r="H348" i="5" a="1"/>
  <c r="H348" i="5"/>
  <c r="G348" i="5"/>
  <c r="H347" i="5" a="1"/>
  <c r="H347" i="5" s="1"/>
  <c r="G347" i="5"/>
  <c r="H346" i="5" a="1"/>
  <c r="H346" i="5"/>
  <c r="G346" i="5"/>
  <c r="H345" i="5" a="1"/>
  <c r="H345" i="5"/>
  <c r="G345" i="5"/>
  <c r="H344" i="5" a="1"/>
  <c r="H344" i="5"/>
  <c r="G344" i="5"/>
  <c r="H343" i="5" a="1"/>
  <c r="H343" i="5" s="1"/>
  <c r="G343" i="5"/>
  <c r="H342" i="5" a="1"/>
  <c r="H342" i="5"/>
  <c r="G342" i="5"/>
  <c r="H341" i="5" a="1"/>
  <c r="H341" i="5" s="1"/>
  <c r="G341" i="5"/>
  <c r="H340" i="5" a="1"/>
  <c r="H340" i="5"/>
  <c r="G340" i="5"/>
  <c r="H339" i="5" a="1"/>
  <c r="H339" i="5"/>
  <c r="G339" i="5"/>
  <c r="H338" i="5" a="1"/>
  <c r="H338" i="5"/>
  <c r="G338" i="5"/>
  <c r="H337" i="5" a="1"/>
  <c r="H337" i="5" s="1"/>
  <c r="G337" i="5"/>
  <c r="H336" i="5" a="1"/>
  <c r="H336" i="5" s="1"/>
  <c r="G336" i="5"/>
  <c r="H335" i="5" a="1"/>
  <c r="H335" i="5" s="1"/>
  <c r="G335" i="5"/>
  <c r="H334" i="5" a="1"/>
  <c r="H334" i="5" s="1"/>
  <c r="G334" i="5"/>
  <c r="H333" i="5" a="1"/>
  <c r="H333" i="5" s="1"/>
  <c r="G333" i="5"/>
  <c r="H332" i="5" a="1"/>
  <c r="H332" i="5"/>
  <c r="G332" i="5"/>
  <c r="H331" i="5" a="1"/>
  <c r="H331" i="5" s="1"/>
  <c r="G331" i="5"/>
  <c r="H330" i="5" a="1"/>
  <c r="H330" i="5"/>
  <c r="G330" i="5"/>
  <c r="H329" i="5" a="1"/>
  <c r="H329" i="5" s="1"/>
  <c r="G329" i="5"/>
  <c r="H328" i="5" a="1"/>
  <c r="H328" i="5"/>
  <c r="G328" i="5"/>
  <c r="H327" i="5" a="1"/>
  <c r="H327" i="5" s="1"/>
  <c r="G327" i="5"/>
  <c r="H326" i="5" a="1"/>
  <c r="H326" i="5" s="1"/>
  <c r="G326" i="5"/>
  <c r="H325" i="5" a="1"/>
  <c r="H325" i="5" s="1"/>
  <c r="G325" i="5"/>
  <c r="H324" i="5" a="1"/>
  <c r="H324" i="5"/>
  <c r="G324" i="5"/>
  <c r="H323" i="5" a="1"/>
  <c r="H323" i="5" s="1"/>
  <c r="G323" i="5"/>
  <c r="H322" i="5" a="1"/>
  <c r="H322" i="5"/>
  <c r="G322" i="5"/>
  <c r="H321" i="5" a="1"/>
  <c r="H321" i="5" s="1"/>
  <c r="G321" i="5"/>
  <c r="H320" i="5" a="1"/>
  <c r="H320" i="5"/>
  <c r="G320" i="5"/>
  <c r="H319" i="5" a="1"/>
  <c r="H319" i="5" s="1"/>
  <c r="G319" i="5"/>
  <c r="H318" i="5" a="1"/>
  <c r="H318" i="5" s="1"/>
  <c r="G318" i="5"/>
  <c r="H317" i="5" a="1"/>
  <c r="H317" i="5" s="1"/>
  <c r="G317" i="5"/>
  <c r="H316" i="5" a="1"/>
  <c r="H316" i="5"/>
  <c r="G316" i="5"/>
  <c r="H315" i="5" a="1"/>
  <c r="H315" i="5" s="1"/>
  <c r="G315" i="5"/>
  <c r="H314" i="5" a="1"/>
  <c r="H314" i="5"/>
  <c r="G314" i="5"/>
  <c r="H313" i="5" a="1"/>
  <c r="H313" i="5" s="1"/>
  <c r="G313" i="5"/>
  <c r="H312" i="5" a="1"/>
  <c r="H312" i="5"/>
  <c r="G312" i="5"/>
  <c r="H311" i="5" a="1"/>
  <c r="H311" i="5" s="1"/>
  <c r="G311" i="5"/>
  <c r="H310" i="5" a="1"/>
  <c r="H310" i="5" s="1"/>
  <c r="G310" i="5"/>
  <c r="H309" i="5" a="1"/>
  <c r="H309" i="5" s="1"/>
  <c r="G309" i="5"/>
  <c r="H308" i="5" a="1"/>
  <c r="H308" i="5"/>
  <c r="G308" i="5"/>
  <c r="H307" i="5" a="1"/>
  <c r="H307" i="5" s="1"/>
  <c r="G307" i="5"/>
  <c r="H306" i="5" a="1"/>
  <c r="H306" i="5"/>
  <c r="G306" i="5"/>
  <c r="H305" i="5" a="1"/>
  <c r="H305" i="5" s="1"/>
  <c r="G305" i="5"/>
  <c r="H304" i="5" a="1"/>
  <c r="H304" i="5" s="1"/>
  <c r="G304" i="5"/>
  <c r="H303" i="5" a="1"/>
  <c r="H303" i="5" s="1"/>
  <c r="G303" i="5"/>
  <c r="H302" i="5" a="1"/>
  <c r="H302" i="5" s="1"/>
  <c r="G302" i="5"/>
  <c r="H301" i="5" a="1"/>
  <c r="H301" i="5" s="1"/>
  <c r="G301" i="5"/>
  <c r="H300" i="5" a="1"/>
  <c r="H300" i="5"/>
  <c r="G300" i="5"/>
  <c r="H299" i="5" a="1"/>
  <c r="H299" i="5" s="1"/>
  <c r="G299" i="5"/>
  <c r="H298" i="5" a="1"/>
  <c r="H298" i="5"/>
  <c r="G298" i="5"/>
  <c r="H297" i="5" a="1"/>
  <c r="H297" i="5" s="1"/>
  <c r="G297" i="5"/>
  <c r="H296" i="5" a="1"/>
  <c r="H296" i="5"/>
  <c r="G296" i="5"/>
  <c r="H295" i="5" a="1"/>
  <c r="H295" i="5" s="1"/>
  <c r="G295" i="5"/>
  <c r="H294" i="5" a="1"/>
  <c r="H294" i="5" s="1"/>
  <c r="G294" i="5"/>
  <c r="H293" i="5" a="1"/>
  <c r="H293" i="5" s="1"/>
  <c r="G293" i="5"/>
  <c r="H292" i="5" a="1"/>
  <c r="H292" i="5"/>
  <c r="G292" i="5"/>
  <c r="H291" i="5" a="1"/>
  <c r="H291" i="5" s="1"/>
  <c r="G291" i="5"/>
  <c r="H290" i="5" a="1"/>
  <c r="H290" i="5"/>
  <c r="G290" i="5"/>
  <c r="H289" i="5" a="1"/>
  <c r="H289" i="5" s="1"/>
  <c r="G289" i="5"/>
  <c r="H288" i="5" a="1"/>
  <c r="H288" i="5"/>
  <c r="G288" i="5"/>
  <c r="H287" i="5" a="1"/>
  <c r="H287" i="5" s="1"/>
  <c r="G287" i="5"/>
  <c r="H286" i="5" a="1"/>
  <c r="H286" i="5" s="1"/>
  <c r="G286" i="5"/>
  <c r="H285" i="5" a="1"/>
  <c r="H285" i="5" s="1"/>
  <c r="G285" i="5"/>
  <c r="H284" i="5" a="1"/>
  <c r="H284" i="5"/>
  <c r="G284" i="5"/>
  <c r="H283" i="5" a="1"/>
  <c r="H283" i="5" s="1"/>
  <c r="G283" i="5"/>
  <c r="H282" i="5" a="1"/>
  <c r="H282" i="5"/>
  <c r="G282" i="5"/>
  <c r="H281" i="5" a="1"/>
  <c r="H281" i="5"/>
  <c r="G281" i="5"/>
  <c r="H280" i="5" a="1"/>
  <c r="H280" i="5"/>
  <c r="G280" i="5"/>
  <c r="H279" i="5" a="1"/>
  <c r="H279" i="5" s="1"/>
  <c r="G279" i="5"/>
  <c r="H278" i="5" a="1"/>
  <c r="H278" i="5"/>
  <c r="G278" i="5"/>
  <c r="H277" i="5" a="1"/>
  <c r="H277" i="5" s="1"/>
  <c r="G277" i="5"/>
  <c r="H276" i="5" a="1"/>
  <c r="H276" i="5"/>
  <c r="G276" i="5"/>
  <c r="H275" i="5" a="1"/>
  <c r="H275" i="5"/>
  <c r="G275" i="5"/>
  <c r="H274" i="5" a="1"/>
  <c r="H274" i="5"/>
  <c r="G274" i="5"/>
  <c r="H273" i="5" a="1"/>
  <c r="H273" i="5" s="1"/>
  <c r="G273" i="5"/>
  <c r="H272" i="5" a="1"/>
  <c r="H272" i="5"/>
  <c r="G272" i="5"/>
  <c r="H271" i="5" a="1"/>
  <c r="H271" i="5" s="1"/>
  <c r="G271" i="5"/>
  <c r="H270" i="5" a="1"/>
  <c r="H270" i="5" s="1"/>
  <c r="G270" i="5"/>
  <c r="H269" i="5" a="1"/>
  <c r="H269" i="5" s="1"/>
  <c r="G269" i="5"/>
  <c r="H268" i="5" a="1"/>
  <c r="H268" i="5"/>
  <c r="G268" i="5"/>
  <c r="H267" i="5" a="1"/>
  <c r="H267" i="5" s="1"/>
  <c r="G267" i="5"/>
  <c r="H266" i="5" a="1"/>
  <c r="H266" i="5" s="1"/>
  <c r="G266" i="5"/>
  <c r="H265" i="5" a="1"/>
  <c r="H265" i="5" s="1"/>
  <c r="G265" i="5"/>
  <c r="H264" i="5" a="1"/>
  <c r="H264" i="5"/>
  <c r="G264" i="5"/>
  <c r="H263" i="5" a="1"/>
  <c r="H263" i="5" s="1"/>
  <c r="G263" i="5"/>
  <c r="H262" i="5" a="1"/>
  <c r="H262" i="5"/>
  <c r="G262" i="5"/>
  <c r="H261" i="5" a="1"/>
  <c r="H261" i="5"/>
  <c r="G261" i="5"/>
  <c r="H260" i="5" a="1"/>
  <c r="H260" i="5"/>
  <c r="G260" i="5"/>
  <c r="H259" i="5" a="1"/>
  <c r="H259" i="5" s="1"/>
  <c r="G259" i="5"/>
  <c r="H258" i="5" a="1"/>
  <c r="H258" i="5"/>
  <c r="G258" i="5"/>
  <c r="H257" i="5" a="1"/>
  <c r="H257" i="5" s="1"/>
  <c r="G257" i="5"/>
  <c r="H256" i="5" a="1"/>
  <c r="H256" i="5"/>
  <c r="G256" i="5"/>
  <c r="H255" i="5" a="1"/>
  <c r="H255" i="5" s="1"/>
  <c r="G255" i="5"/>
  <c r="H254" i="5" a="1"/>
  <c r="H254" i="5"/>
  <c r="G254" i="5"/>
  <c r="H253" i="5" a="1"/>
  <c r="H253" i="5"/>
  <c r="G253" i="5"/>
  <c r="H252" i="5" a="1"/>
  <c r="H252" i="5"/>
  <c r="G252" i="5"/>
  <c r="H251" i="5" a="1"/>
  <c r="H251" i="5" s="1"/>
  <c r="G251" i="5"/>
  <c r="H250" i="5" a="1"/>
  <c r="H250" i="5"/>
  <c r="G250" i="5"/>
  <c r="H249" i="5" a="1"/>
  <c r="H249" i="5" s="1"/>
  <c r="G249" i="5"/>
  <c r="H248" i="5" a="1"/>
  <c r="H248" i="5"/>
  <c r="G248" i="5"/>
  <c r="H247" i="5" a="1"/>
  <c r="H247" i="5" s="1"/>
  <c r="G247" i="5"/>
  <c r="H246" i="5" a="1"/>
  <c r="H246" i="5"/>
  <c r="G246" i="5"/>
  <c r="H245" i="5" a="1"/>
  <c r="H245" i="5" s="1"/>
  <c r="G245" i="5"/>
  <c r="H244" i="5" a="1"/>
  <c r="H244" i="5"/>
  <c r="G244" i="5"/>
  <c r="H243" i="5" a="1"/>
  <c r="H243" i="5" s="1"/>
  <c r="G243" i="5"/>
  <c r="H242" i="5" a="1"/>
  <c r="H242" i="5" s="1"/>
  <c r="G242" i="5"/>
  <c r="H241" i="5" a="1"/>
  <c r="H241" i="5" s="1"/>
  <c r="G241" i="5"/>
  <c r="H240" i="5" a="1"/>
  <c r="H240" i="5"/>
  <c r="G240" i="5"/>
  <c r="H239" i="5" a="1"/>
  <c r="H239" i="5" s="1"/>
  <c r="G239" i="5"/>
  <c r="H238" i="5" a="1"/>
  <c r="H238" i="5"/>
  <c r="G238" i="5"/>
  <c r="H237" i="5" a="1"/>
  <c r="H237" i="5" s="1"/>
  <c r="G237" i="5"/>
  <c r="H236" i="5" a="1"/>
  <c r="H236" i="5"/>
  <c r="G236" i="5"/>
  <c r="H235" i="5" a="1"/>
  <c r="H235" i="5" s="1"/>
  <c r="G235" i="5"/>
  <c r="H234" i="5" a="1"/>
  <c r="H234" i="5" s="1"/>
  <c r="G234" i="5"/>
  <c r="H233" i="5" a="1"/>
  <c r="H233" i="5" s="1"/>
  <c r="G233" i="5"/>
  <c r="H232" i="5" a="1"/>
  <c r="H232" i="5"/>
  <c r="G232" i="5"/>
  <c r="H231" i="5" a="1"/>
  <c r="H231" i="5" s="1"/>
  <c r="G231" i="5"/>
  <c r="H230" i="5" a="1"/>
  <c r="H230" i="5"/>
  <c r="G230" i="5"/>
  <c r="H229" i="5" a="1"/>
  <c r="H229" i="5"/>
  <c r="G229" i="5"/>
  <c r="H228" i="5" a="1"/>
  <c r="H228" i="5"/>
  <c r="G228" i="5"/>
  <c r="H227" i="5" a="1"/>
  <c r="H227" i="5" s="1"/>
  <c r="G227" i="5"/>
  <c r="H226" i="5" a="1"/>
  <c r="H226" i="5"/>
  <c r="G226" i="5"/>
  <c r="H225" i="5" a="1"/>
  <c r="H225" i="5" s="1"/>
  <c r="G225" i="5"/>
  <c r="H224" i="5" a="1"/>
  <c r="H224" i="5"/>
  <c r="G224" i="5"/>
  <c r="H223" i="5" a="1"/>
  <c r="H223" i="5" s="1"/>
  <c r="G223" i="5"/>
  <c r="H222" i="5" a="1"/>
  <c r="H222" i="5"/>
  <c r="G222" i="5"/>
  <c r="H221" i="5" a="1"/>
  <c r="H221" i="5"/>
  <c r="G221" i="5"/>
  <c r="H220" i="5" a="1"/>
  <c r="H220" i="5"/>
  <c r="G220" i="5"/>
  <c r="H219" i="5" a="1"/>
  <c r="H219" i="5" s="1"/>
  <c r="G219" i="5"/>
  <c r="H218" i="5" a="1"/>
  <c r="H218" i="5"/>
  <c r="G218" i="5"/>
  <c r="H217" i="5" a="1"/>
  <c r="H217" i="5" s="1"/>
  <c r="G217" i="5"/>
  <c r="H216" i="5" a="1"/>
  <c r="H216" i="5"/>
  <c r="G216" i="5"/>
  <c r="H215" i="5" a="1"/>
  <c r="H215" i="5" s="1"/>
  <c r="G215" i="5"/>
  <c r="H214" i="5" a="1"/>
  <c r="H214" i="5"/>
  <c r="G214" i="5"/>
  <c r="H213" i="5" a="1"/>
  <c r="H213" i="5" s="1"/>
  <c r="G213" i="5"/>
  <c r="H212" i="5" a="1"/>
  <c r="H212" i="5"/>
  <c r="G212" i="5"/>
  <c r="H211" i="5" a="1"/>
  <c r="H211" i="5" s="1"/>
  <c r="G211" i="5"/>
  <c r="H210" i="5" a="1"/>
  <c r="H210" i="5" s="1"/>
  <c r="G210" i="5"/>
  <c r="H209" i="5" a="1"/>
  <c r="H209" i="5" s="1"/>
  <c r="G209" i="5"/>
  <c r="H208" i="5" a="1"/>
  <c r="H208" i="5"/>
  <c r="G208" i="5"/>
  <c r="H207" i="5" a="1"/>
  <c r="H207" i="5" s="1"/>
  <c r="G207" i="5"/>
  <c r="H206" i="5" a="1"/>
  <c r="H206" i="5"/>
  <c r="G206" i="5"/>
  <c r="H205" i="5" a="1"/>
  <c r="H205" i="5" s="1"/>
  <c r="G205" i="5"/>
  <c r="H204" i="5" a="1"/>
  <c r="H204" i="5"/>
  <c r="G204" i="5"/>
  <c r="H203" i="5" a="1"/>
  <c r="H203" i="5" s="1"/>
  <c r="G203" i="5"/>
  <c r="H202" i="5" a="1"/>
  <c r="H202" i="5" s="1"/>
  <c r="G202" i="5"/>
  <c r="H201" i="5" a="1"/>
  <c r="H201" i="5" s="1"/>
  <c r="G201" i="5"/>
  <c r="H200" i="5" a="1"/>
  <c r="H200" i="5"/>
  <c r="G200" i="5"/>
  <c r="H199" i="5" a="1"/>
  <c r="H199" i="5" s="1"/>
  <c r="G199" i="5"/>
  <c r="H198" i="5" a="1"/>
  <c r="H198" i="5"/>
  <c r="G198" i="5"/>
  <c r="H197" i="5" a="1"/>
  <c r="H197" i="5"/>
  <c r="G197" i="5"/>
  <c r="H196" i="5" a="1"/>
  <c r="H196" i="5"/>
  <c r="G196" i="5"/>
  <c r="H195" i="5" a="1"/>
  <c r="H195" i="5" s="1"/>
  <c r="G195" i="5"/>
  <c r="H194" i="5" a="1"/>
  <c r="H194" i="5"/>
  <c r="G194" i="5"/>
  <c r="H193" i="5" a="1"/>
  <c r="H193" i="5" s="1"/>
  <c r="G193" i="5"/>
  <c r="H192" i="5" a="1"/>
  <c r="H192" i="5"/>
  <c r="G192" i="5"/>
  <c r="H191" i="5" a="1"/>
  <c r="H191" i="5" s="1"/>
  <c r="G191" i="5"/>
  <c r="H190" i="5" a="1"/>
  <c r="H190" i="5"/>
  <c r="G190" i="5"/>
  <c r="H189" i="5" a="1"/>
  <c r="H189" i="5"/>
  <c r="G189" i="5"/>
  <c r="H188" i="5" a="1"/>
  <c r="H188" i="5"/>
  <c r="G188" i="5"/>
  <c r="H187" i="5" a="1"/>
  <c r="H187" i="5" s="1"/>
  <c r="G187" i="5"/>
  <c r="H186" i="5" a="1"/>
  <c r="H186" i="5"/>
  <c r="G186" i="5"/>
  <c r="H185" i="5" a="1"/>
  <c r="H185" i="5" s="1"/>
  <c r="G185" i="5"/>
  <c r="H184" i="5" a="1"/>
  <c r="H184" i="5"/>
  <c r="G184" i="5"/>
  <c r="H183" i="5" a="1"/>
  <c r="H183" i="5" s="1"/>
  <c r="G183" i="5"/>
  <c r="H182" i="5" a="1"/>
  <c r="H182" i="5"/>
  <c r="G182" i="5"/>
  <c r="H181" i="5" a="1"/>
  <c r="H181" i="5" s="1"/>
  <c r="G181" i="5"/>
  <c r="H180" i="5" a="1"/>
  <c r="H180" i="5"/>
  <c r="G180" i="5"/>
  <c r="H179" i="5" a="1"/>
  <c r="H179" i="5" s="1"/>
  <c r="G179" i="5"/>
  <c r="H178" i="5" a="1"/>
  <c r="H178" i="5" s="1"/>
  <c r="G178" i="5"/>
  <c r="H177" i="5" a="1"/>
  <c r="H177" i="5" s="1"/>
  <c r="G177" i="5"/>
  <c r="H176" i="5" a="1"/>
  <c r="H176" i="5"/>
  <c r="G176" i="5"/>
  <c r="H175" i="5" a="1"/>
  <c r="H175" i="5" s="1"/>
  <c r="G175" i="5"/>
  <c r="H174" i="5" a="1"/>
  <c r="H174" i="5"/>
  <c r="G174" i="5"/>
  <c r="H173" i="5" a="1"/>
  <c r="H173" i="5" s="1"/>
  <c r="G173" i="5"/>
  <c r="H172" i="5" a="1"/>
  <c r="H172" i="5"/>
  <c r="G172" i="5"/>
  <c r="H171" i="5" a="1"/>
  <c r="H171" i="5" s="1"/>
  <c r="G171" i="5"/>
  <c r="H170" i="5" a="1"/>
  <c r="H170" i="5" s="1"/>
  <c r="G170" i="5"/>
  <c r="H169" i="5" a="1"/>
  <c r="H169" i="5" s="1"/>
  <c r="G169" i="5"/>
  <c r="H168" i="5" a="1"/>
  <c r="H168" i="5"/>
  <c r="G168" i="5"/>
  <c r="H167" i="5" a="1"/>
  <c r="H167" i="5" s="1"/>
  <c r="G167" i="5"/>
  <c r="H166" i="5" a="1"/>
  <c r="H166" i="5"/>
  <c r="G166" i="5"/>
  <c r="H165" i="5" a="1"/>
  <c r="H165" i="5"/>
  <c r="G165" i="5"/>
  <c r="H164" i="5" a="1"/>
  <c r="H164" i="5"/>
  <c r="G164" i="5"/>
  <c r="H163" i="5" a="1"/>
  <c r="H163" i="5" s="1"/>
  <c r="G163" i="5"/>
  <c r="H162" i="5" a="1"/>
  <c r="H162" i="5"/>
  <c r="G162" i="5"/>
  <c r="H161" i="5" a="1"/>
  <c r="H161" i="5" s="1"/>
  <c r="G161" i="5"/>
  <c r="H160" i="5" a="1"/>
  <c r="H160" i="5"/>
  <c r="G160" i="5"/>
  <c r="H159" i="5" a="1"/>
  <c r="H159" i="5" s="1"/>
  <c r="G159" i="5"/>
  <c r="H158" i="5" a="1"/>
  <c r="H158" i="5"/>
  <c r="G158" i="5"/>
  <c r="H157" i="5" a="1"/>
  <c r="H157" i="5"/>
  <c r="G157" i="5"/>
  <c r="H156" i="5" a="1"/>
  <c r="H156" i="5"/>
  <c r="G156" i="5"/>
  <c r="H155" i="5" a="1"/>
  <c r="H155" i="5" s="1"/>
  <c r="G155" i="5"/>
  <c r="H154" i="5" a="1"/>
  <c r="H154" i="5"/>
  <c r="G154" i="5"/>
  <c r="H153" i="5" a="1"/>
  <c r="H153" i="5" s="1"/>
  <c r="G153" i="5"/>
  <c r="H152" i="5" a="1"/>
  <c r="H152" i="5"/>
  <c r="G152" i="5"/>
  <c r="H151" i="5" a="1"/>
  <c r="H151" i="5" s="1"/>
  <c r="G151" i="5"/>
  <c r="H150" i="5" a="1"/>
  <c r="H150" i="5"/>
  <c r="G150" i="5"/>
  <c r="H149" i="5" a="1"/>
  <c r="H149" i="5" s="1"/>
  <c r="G149" i="5"/>
  <c r="H148" i="5" a="1"/>
  <c r="H148" i="5"/>
  <c r="G148" i="5"/>
  <c r="H147" i="5" a="1"/>
  <c r="H147" i="5" s="1"/>
  <c r="G147" i="5"/>
  <c r="H146" i="5" a="1"/>
  <c r="H146" i="5" s="1"/>
  <c r="G146" i="5"/>
  <c r="H145" i="5" a="1"/>
  <c r="H145" i="5" s="1"/>
  <c r="G145" i="5"/>
  <c r="H144" i="5" a="1"/>
  <c r="H144" i="5"/>
  <c r="G144" i="5"/>
  <c r="H143" i="5" a="1"/>
  <c r="H143" i="5" s="1"/>
  <c r="G143" i="5"/>
  <c r="H142" i="5" a="1"/>
  <c r="H142" i="5"/>
  <c r="G142" i="5"/>
  <c r="H141" i="5" a="1"/>
  <c r="H141" i="5" s="1"/>
  <c r="G141" i="5"/>
  <c r="H140" i="5" a="1"/>
  <c r="H140" i="5"/>
  <c r="G140" i="5"/>
  <c r="H139" i="5" a="1"/>
  <c r="H139" i="5" s="1"/>
  <c r="G139" i="5"/>
  <c r="H138" i="5" a="1"/>
  <c r="H138" i="5" s="1"/>
  <c r="G138" i="5"/>
  <c r="H137" i="5" a="1"/>
  <c r="H137" i="5" s="1"/>
  <c r="G137" i="5"/>
  <c r="H136" i="5" a="1"/>
  <c r="H136" i="5"/>
  <c r="G136" i="5"/>
  <c r="H135" i="5" a="1"/>
  <c r="H135" i="5" s="1"/>
  <c r="G135" i="5"/>
  <c r="H134" i="5" a="1"/>
  <c r="H134" i="5"/>
  <c r="G134" i="5"/>
  <c r="H133" i="5" a="1"/>
  <c r="H133" i="5"/>
  <c r="G133" i="5"/>
  <c r="H132" i="5" a="1"/>
  <c r="H132" i="5"/>
  <c r="G132" i="5"/>
  <c r="H131" i="5" a="1"/>
  <c r="H131" i="5" s="1"/>
  <c r="G131" i="5"/>
  <c r="H130" i="5" a="1"/>
  <c r="H130" i="5"/>
  <c r="G130" i="5"/>
  <c r="H129" i="5" a="1"/>
  <c r="H129" i="5" s="1"/>
  <c r="G129" i="5"/>
  <c r="H128" i="5" a="1"/>
  <c r="H128" i="5"/>
  <c r="G128" i="5"/>
  <c r="H127" i="5" a="1"/>
  <c r="H127" i="5" s="1"/>
  <c r="G127" i="5"/>
  <c r="H126" i="5" a="1"/>
  <c r="H126" i="5"/>
  <c r="G126" i="5"/>
  <c r="H125" i="5" a="1"/>
  <c r="H125" i="5"/>
  <c r="G125" i="5"/>
  <c r="H124" i="5" a="1"/>
  <c r="H124" i="5"/>
  <c r="G124" i="5"/>
  <c r="H123" i="5" a="1"/>
  <c r="H123" i="5" s="1"/>
  <c r="G123" i="5"/>
  <c r="H122" i="5" a="1"/>
  <c r="H122" i="5"/>
  <c r="G122" i="5"/>
  <c r="H121" i="5" a="1"/>
  <c r="H121" i="5" s="1"/>
  <c r="G121" i="5"/>
  <c r="H120" i="5" a="1"/>
  <c r="H120" i="5"/>
  <c r="G120" i="5"/>
  <c r="H119" i="5" a="1"/>
  <c r="H119" i="5" s="1"/>
  <c r="G119" i="5"/>
  <c r="H118" i="5" a="1"/>
  <c r="H118" i="5"/>
  <c r="G118" i="5"/>
  <c r="H117" i="5" a="1"/>
  <c r="H117" i="5" s="1"/>
  <c r="G117" i="5"/>
  <c r="H116" i="5" a="1"/>
  <c r="H116" i="5"/>
  <c r="G116" i="5"/>
  <c r="H115" i="5" a="1"/>
  <c r="H115" i="5" s="1"/>
  <c r="G115" i="5"/>
  <c r="H114" i="5" a="1"/>
  <c r="H114" i="5" s="1"/>
  <c r="G114" i="5"/>
  <c r="H113" i="5" a="1"/>
  <c r="H113" i="5" s="1"/>
  <c r="G113" i="5"/>
  <c r="H112" i="5" a="1"/>
  <c r="H112" i="5"/>
  <c r="G112" i="5"/>
  <c r="H111" i="5" a="1"/>
  <c r="H111" i="5" s="1"/>
  <c r="G111" i="5"/>
  <c r="H110" i="5" a="1"/>
  <c r="H110" i="5"/>
  <c r="G110" i="5"/>
  <c r="H109" i="5" a="1"/>
  <c r="H109" i="5" s="1"/>
  <c r="G109" i="5"/>
  <c r="H108" i="5" a="1"/>
  <c r="H108" i="5"/>
  <c r="G108" i="5"/>
  <c r="H107" i="5" a="1"/>
  <c r="H107" i="5" s="1"/>
  <c r="G107" i="5"/>
  <c r="H106" i="5" a="1"/>
  <c r="H106" i="5" s="1"/>
  <c r="G106" i="5"/>
  <c r="H105" i="5" a="1"/>
  <c r="H105" i="5" s="1"/>
  <c r="G105" i="5"/>
  <c r="H104" i="5" a="1"/>
  <c r="H104" i="5"/>
  <c r="G104" i="5"/>
  <c r="H103" i="5" a="1"/>
  <c r="H103" i="5" s="1"/>
  <c r="G103" i="5"/>
  <c r="H102" i="5" a="1"/>
  <c r="H102" i="5"/>
  <c r="G102" i="5"/>
  <c r="H101" i="5" a="1"/>
  <c r="H101" i="5"/>
  <c r="G101" i="5"/>
  <c r="H100" i="5" a="1"/>
  <c r="H100" i="5"/>
  <c r="G100" i="5"/>
  <c r="H99" i="5" a="1"/>
  <c r="H99" i="5" s="1"/>
  <c r="G99" i="5"/>
  <c r="H98" i="5" a="1"/>
  <c r="H98" i="5"/>
  <c r="G98" i="5"/>
  <c r="H97" i="5" a="1"/>
  <c r="H97" i="5" s="1"/>
  <c r="G97" i="5"/>
  <c r="H96" i="5" a="1"/>
  <c r="H96" i="5"/>
  <c r="G96" i="5"/>
  <c r="H95" i="5" a="1"/>
  <c r="H95" i="5" s="1"/>
  <c r="G95" i="5"/>
  <c r="H94" i="5" a="1"/>
  <c r="H94" i="5"/>
  <c r="G94" i="5"/>
  <c r="H93" i="5" a="1"/>
  <c r="H93" i="5"/>
  <c r="G93" i="5"/>
  <c r="H92" i="5" a="1"/>
  <c r="H92" i="5"/>
  <c r="G92" i="5"/>
  <c r="H91" i="5" a="1"/>
  <c r="H91" i="5" s="1"/>
  <c r="G91" i="5"/>
  <c r="H90" i="5" a="1"/>
  <c r="H90" i="5"/>
  <c r="G90" i="5"/>
  <c r="H89" i="5" a="1"/>
  <c r="H89" i="5" s="1"/>
  <c r="G89" i="5"/>
  <c r="H88" i="5" a="1"/>
  <c r="H88" i="5"/>
  <c r="G88" i="5"/>
  <c r="H87" i="5" a="1"/>
  <c r="H87" i="5" s="1"/>
  <c r="G87" i="5"/>
  <c r="H86" i="5" a="1"/>
  <c r="H86" i="5"/>
  <c r="G86" i="5"/>
  <c r="H85" i="5" a="1"/>
  <c r="H85" i="5" s="1"/>
  <c r="G85" i="5"/>
  <c r="H84" i="5" a="1"/>
  <c r="H84" i="5"/>
  <c r="G84" i="5"/>
  <c r="H83" i="5" a="1"/>
  <c r="H83" i="5" s="1"/>
  <c r="G83" i="5"/>
  <c r="H82" i="5" a="1"/>
  <c r="H82" i="5" s="1"/>
  <c r="G82" i="5"/>
  <c r="H81" i="5" a="1"/>
  <c r="H81" i="5" s="1"/>
  <c r="G81" i="5"/>
  <c r="H80" i="5" a="1"/>
  <c r="H80" i="5"/>
  <c r="G80" i="5"/>
  <c r="H79" i="5" a="1"/>
  <c r="H79" i="5" s="1"/>
  <c r="G79" i="5"/>
  <c r="H78" i="5" a="1"/>
  <c r="H78" i="5"/>
  <c r="G78" i="5"/>
  <c r="H77" i="5" a="1"/>
  <c r="H77" i="5"/>
  <c r="G77" i="5"/>
  <c r="H76" i="5" a="1"/>
  <c r="H76" i="5"/>
  <c r="G76" i="5"/>
  <c r="H75" i="5" a="1"/>
  <c r="H75" i="5" s="1"/>
  <c r="G75" i="5"/>
  <c r="H74" i="5" a="1"/>
  <c r="H74" i="5" s="1"/>
  <c r="G74" i="5"/>
  <c r="H73" i="5" a="1"/>
  <c r="H73" i="5" s="1"/>
  <c r="G73" i="5"/>
  <c r="H72" i="5" a="1"/>
  <c r="H72" i="5"/>
  <c r="G72" i="5"/>
  <c r="H71" i="5" a="1"/>
  <c r="H71" i="5" s="1"/>
  <c r="G71" i="5"/>
  <c r="H70" i="5" a="1"/>
  <c r="H70" i="5"/>
  <c r="G70" i="5"/>
  <c r="H69" i="5" a="1"/>
  <c r="H69" i="5"/>
  <c r="G69" i="5"/>
  <c r="H68" i="5" a="1"/>
  <c r="H68" i="5"/>
  <c r="G68" i="5"/>
  <c r="H67" i="5" a="1"/>
  <c r="H67" i="5" s="1"/>
  <c r="G67" i="5"/>
  <c r="H66" i="5" a="1"/>
  <c r="H66" i="5"/>
  <c r="G66" i="5"/>
  <c r="H65" i="5" a="1"/>
  <c r="H65" i="5" s="1"/>
  <c r="G65" i="5"/>
  <c r="H64" i="5" a="1"/>
  <c r="H64" i="5"/>
  <c r="G64" i="5"/>
  <c r="H63" i="5" a="1"/>
  <c r="H63" i="5" s="1"/>
  <c r="G63" i="5"/>
  <c r="H62" i="5" a="1"/>
  <c r="H62" i="5"/>
  <c r="G62" i="5"/>
  <c r="H61" i="5" a="1"/>
  <c r="H61" i="5"/>
  <c r="G61" i="5"/>
  <c r="H60" i="5" a="1"/>
  <c r="H60" i="5"/>
  <c r="G60" i="5"/>
  <c r="H59" i="5" a="1"/>
  <c r="H59" i="5" s="1"/>
  <c r="G59" i="5"/>
  <c r="H58" i="5" a="1"/>
  <c r="H58" i="5"/>
  <c r="G58" i="5"/>
  <c r="H57" i="5" a="1"/>
  <c r="H57" i="5" s="1"/>
  <c r="G57" i="5"/>
  <c r="H56" i="5" a="1"/>
  <c r="H56" i="5"/>
  <c r="G56" i="5"/>
  <c r="H55" i="5" a="1"/>
  <c r="H55" i="5" s="1"/>
  <c r="G55" i="5"/>
  <c r="H54" i="5" a="1"/>
  <c r="H54" i="5"/>
  <c r="G54" i="5"/>
  <c r="H53" i="5" a="1"/>
  <c r="H53" i="5" s="1"/>
  <c r="G53" i="5"/>
  <c r="H52" i="5" a="1"/>
  <c r="H52" i="5"/>
  <c r="G52" i="5"/>
  <c r="H51" i="5" a="1"/>
  <c r="H51" i="5" s="1"/>
  <c r="G51" i="5"/>
  <c r="H50" i="5" a="1"/>
  <c r="H50" i="5" s="1"/>
  <c r="G50" i="5"/>
  <c r="H49" i="5" a="1"/>
  <c r="H49" i="5" s="1"/>
  <c r="G49" i="5"/>
  <c r="H48" i="5" a="1"/>
  <c r="H48" i="5"/>
  <c r="G48" i="5"/>
  <c r="H47" i="5" a="1"/>
  <c r="H47" i="5" s="1"/>
  <c r="G47" i="5"/>
  <c r="H46" i="5" a="1"/>
  <c r="H46" i="5"/>
  <c r="G46" i="5"/>
  <c r="H45" i="5" a="1"/>
  <c r="H45" i="5" s="1"/>
  <c r="G45" i="5"/>
  <c r="H44" i="5" a="1"/>
  <c r="H44" i="5"/>
  <c r="G44" i="5"/>
  <c r="H43" i="5" a="1"/>
  <c r="H43" i="5" s="1"/>
  <c r="G43" i="5"/>
  <c r="H42" i="5" a="1"/>
  <c r="H42" i="5" s="1"/>
  <c r="G42" i="5"/>
  <c r="H41" i="5" a="1"/>
  <c r="H41" i="5" s="1"/>
  <c r="G41" i="5"/>
  <c r="G40" i="5"/>
  <c r="H40" i="5" s="1" a="1"/>
  <c r="H40" i="5" s="1"/>
  <c r="O127" i="4" s="1"/>
  <c r="H39" i="5" a="1"/>
  <c r="H39" i="5" s="1"/>
  <c r="G39" i="5"/>
  <c r="G38" i="5"/>
  <c r="H38" i="5" s="1" a="1"/>
  <c r="H38" i="5" s="1"/>
  <c r="G37" i="5"/>
  <c r="H37" i="5" s="1" a="1"/>
  <c r="H37" i="5" s="1"/>
  <c r="E37" i="5"/>
  <c r="H36" i="5" a="1"/>
  <c r="H36" i="5" s="1"/>
  <c r="G36" i="5"/>
  <c r="H35" i="5" a="1"/>
  <c r="H35" i="5"/>
  <c r="G35" i="5"/>
  <c r="G34" i="5"/>
  <c r="H34" i="5" s="1" a="1"/>
  <c r="H34" i="5" s="1"/>
  <c r="H33" i="5"/>
  <c r="G33" i="5"/>
  <c r="H33" i="5" s="1" a="1"/>
  <c r="H32" i="5" a="1"/>
  <c r="H32" i="5"/>
  <c r="G32" i="5"/>
  <c r="G31" i="5"/>
  <c r="H31" i="5" s="1" a="1"/>
  <c r="H31" i="5" s="1"/>
  <c r="G30" i="5"/>
  <c r="H30" i="5" s="1" a="1"/>
  <c r="H30" i="5" s="1"/>
  <c r="H29" i="5" a="1"/>
  <c r="H29" i="5" s="1"/>
  <c r="G29" i="5"/>
  <c r="H28" i="5" a="1"/>
  <c r="H28" i="5"/>
  <c r="G28" i="5"/>
  <c r="G27" i="5"/>
  <c r="H27" i="5" s="1" a="1"/>
  <c r="H27" i="5" s="1"/>
  <c r="G125" i="4" s="1"/>
  <c r="G26" i="5"/>
  <c r="H26" i="5" s="1" a="1"/>
  <c r="H26" i="5" s="1"/>
  <c r="H25" i="5" a="1"/>
  <c r="H25" i="5" s="1"/>
  <c r="G25" i="5"/>
  <c r="H24" i="5" a="1"/>
  <c r="H24" i="5"/>
  <c r="G24" i="5"/>
  <c r="E24" i="5"/>
  <c r="H23" i="5" a="1"/>
  <c r="H23" i="5"/>
  <c r="G23" i="5"/>
  <c r="G22" i="5"/>
  <c r="H22" i="5" s="1" a="1"/>
  <c r="H22" i="5" s="1"/>
  <c r="G21" i="5"/>
  <c r="H21" i="5" s="1" a="1"/>
  <c r="H21" i="5" s="1"/>
  <c r="H20" i="5" a="1"/>
  <c r="H20" i="5" s="1"/>
  <c r="G20" i="5"/>
  <c r="H19" i="5" a="1"/>
  <c r="H19" i="5"/>
  <c r="K126" i="4" s="1"/>
  <c r="G19" i="5"/>
  <c r="G18" i="5"/>
  <c r="H18" i="5" s="1" a="1"/>
  <c r="H18" i="5" s="1"/>
  <c r="G127" i="4" s="1"/>
  <c r="G17" i="5"/>
  <c r="H17" i="5" s="1" a="1"/>
  <c r="H17" i="5" s="1"/>
  <c r="H16" i="5" a="1"/>
  <c r="H16" i="5" s="1"/>
  <c r="G16" i="5"/>
  <c r="H15" i="5" a="1"/>
  <c r="H15" i="5"/>
  <c r="G15" i="5"/>
  <c r="G14" i="5"/>
  <c r="H14" i="5" s="1" a="1"/>
  <c r="H14" i="5" s="1"/>
  <c r="G13" i="5"/>
  <c r="H13" i="5" s="1" a="1"/>
  <c r="H13" i="5" s="1"/>
  <c r="O123" i="4" s="1"/>
  <c r="H12" i="5" a="1"/>
  <c r="H12" i="5" s="1"/>
  <c r="G12" i="5"/>
  <c r="E12" i="5"/>
  <c r="H11" i="5" a="1"/>
  <c r="H11" i="5" s="1"/>
  <c r="G11" i="5"/>
  <c r="H10" i="5" a="1"/>
  <c r="H10" i="5"/>
  <c r="G10" i="5"/>
  <c r="G9" i="5"/>
  <c r="H9" i="5" s="1" a="1"/>
  <c r="H9" i="5" s="1"/>
  <c r="G8" i="5"/>
  <c r="H8" i="5" s="1" a="1"/>
  <c r="H8" i="5" s="1"/>
  <c r="H7" i="5" a="1"/>
  <c r="H7" i="5" s="1"/>
  <c r="G7" i="5"/>
  <c r="H6" i="5" a="1"/>
  <c r="H6" i="5"/>
  <c r="O133" i="4" s="1"/>
  <c r="G6" i="5"/>
  <c r="G5" i="5"/>
  <c r="H5" i="5" s="1" a="1"/>
  <c r="H5" i="5" s="1"/>
  <c r="E5" i="5"/>
  <c r="G4" i="5"/>
  <c r="H4" i="5" s="1" a="1"/>
  <c r="H4" i="5" s="1"/>
  <c r="G3" i="5"/>
  <c r="H3" i="5" s="1" a="1"/>
  <c r="H3" i="5" s="1"/>
  <c r="H2" i="5" a="1"/>
  <c r="H2" i="5" s="1"/>
  <c r="G2" i="5"/>
  <c r="O135" i="4"/>
  <c r="G135" i="4"/>
  <c r="K134" i="4"/>
  <c r="F134" i="4"/>
  <c r="M132" i="4"/>
  <c r="K132" i="4"/>
  <c r="G132" i="4"/>
  <c r="F132" i="4"/>
  <c r="E132" i="4"/>
  <c r="O131" i="4"/>
  <c r="K131" i="4"/>
  <c r="J131" i="4"/>
  <c r="I131" i="4"/>
  <c r="G131" i="4"/>
  <c r="O130" i="4"/>
  <c r="N130" i="4"/>
  <c r="M130" i="4"/>
  <c r="K130" i="4"/>
  <c r="G130" i="4"/>
  <c r="F130" i="4"/>
  <c r="E130" i="4"/>
  <c r="O129" i="4"/>
  <c r="K129" i="4"/>
  <c r="J129" i="4"/>
  <c r="I129" i="4"/>
  <c r="G129" i="4"/>
  <c r="O128" i="4"/>
  <c r="N128" i="4"/>
  <c r="M128" i="4"/>
  <c r="K128" i="4"/>
  <c r="G128" i="4"/>
  <c r="F128" i="4"/>
  <c r="E128" i="4"/>
  <c r="O125" i="4"/>
  <c r="K124" i="4"/>
  <c r="G123" i="4"/>
  <c r="O120" i="4"/>
  <c r="K120" i="4"/>
  <c r="J120" i="4"/>
  <c r="I120" i="4"/>
  <c r="G120" i="4"/>
  <c r="O119" i="4"/>
  <c r="N119" i="4"/>
  <c r="M119" i="4"/>
  <c r="K119" i="4"/>
  <c r="H119" i="4"/>
  <c r="G119" i="4"/>
  <c r="F119" i="4"/>
  <c r="E119" i="4"/>
  <c r="O118" i="4"/>
  <c r="L118" i="4"/>
  <c r="K118" i="4"/>
  <c r="J118" i="4"/>
  <c r="I118" i="4"/>
  <c r="G118" i="4"/>
  <c r="P117" i="4"/>
  <c r="O117" i="4"/>
  <c r="N117" i="4"/>
  <c r="M117" i="4"/>
  <c r="K117" i="4"/>
  <c r="H117" i="4"/>
  <c r="G117" i="4"/>
  <c r="F117" i="4"/>
  <c r="E117" i="4"/>
  <c r="O116" i="4"/>
  <c r="L116" i="4"/>
  <c r="K116" i="4"/>
  <c r="J116" i="4"/>
  <c r="I116" i="4"/>
  <c r="G116" i="4"/>
  <c r="P115" i="4"/>
  <c r="O115" i="4"/>
  <c r="N115" i="4"/>
  <c r="M115" i="4"/>
  <c r="K115" i="4"/>
  <c r="J115" i="4"/>
  <c r="H115" i="4"/>
  <c r="G115" i="4"/>
  <c r="F115" i="4"/>
  <c r="E115" i="4"/>
  <c r="P114" i="4"/>
  <c r="O114" i="4"/>
  <c r="N114" i="4"/>
  <c r="L114" i="4"/>
  <c r="K114" i="4"/>
  <c r="J114" i="4"/>
  <c r="I114" i="4"/>
  <c r="H114" i="4"/>
  <c r="G114" i="4"/>
  <c r="F114" i="4"/>
  <c r="E114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P109" i="4"/>
  <c r="O109" i="4"/>
  <c r="N109" i="4"/>
  <c r="M109" i="4"/>
  <c r="K109" i="4"/>
  <c r="H109" i="4"/>
  <c r="G109" i="4"/>
  <c r="F109" i="4"/>
  <c r="E109" i="4"/>
  <c r="O108" i="4"/>
  <c r="L108" i="4"/>
  <c r="K108" i="4"/>
  <c r="J108" i="4"/>
  <c r="I108" i="4"/>
  <c r="G108" i="4"/>
  <c r="P107" i="4"/>
  <c r="O107" i="4"/>
  <c r="N107" i="4"/>
  <c r="M107" i="4"/>
  <c r="K107" i="4"/>
  <c r="I107" i="4"/>
  <c r="H107" i="4"/>
  <c r="G107" i="4"/>
  <c r="F107" i="4"/>
  <c r="E107" i="4"/>
  <c r="P106" i="4"/>
  <c r="O106" i="4"/>
  <c r="M106" i="4"/>
  <c r="L106" i="4"/>
  <c r="K106" i="4"/>
  <c r="J106" i="4"/>
  <c r="I106" i="4"/>
  <c r="H106" i="4"/>
  <c r="G106" i="4"/>
  <c r="F106" i="4"/>
  <c r="E106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O104" i="4"/>
  <c r="G104" i="4"/>
  <c r="S100" i="4"/>
  <c r="R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B100" i="4" a="1"/>
  <c r="B100" i="4" s="1"/>
  <c r="S99" i="4"/>
  <c r="R99" i="4"/>
  <c r="P99" i="4"/>
  <c r="O99" i="4"/>
  <c r="N99" i="4"/>
  <c r="M99" i="4"/>
  <c r="L99" i="4"/>
  <c r="K99" i="4"/>
  <c r="J99" i="4"/>
  <c r="I99" i="4"/>
  <c r="H99" i="4"/>
  <c r="G99" i="4"/>
  <c r="F99" i="4"/>
  <c r="E99" i="4"/>
  <c r="B99" i="4" a="1"/>
  <c r="B99" i="4" s="1"/>
  <c r="S98" i="4"/>
  <c r="R98" i="4"/>
  <c r="P98" i="4"/>
  <c r="O98" i="4"/>
  <c r="N98" i="4"/>
  <c r="M98" i="4"/>
  <c r="L98" i="4"/>
  <c r="K98" i="4"/>
  <c r="J98" i="4"/>
  <c r="I98" i="4"/>
  <c r="H98" i="4"/>
  <c r="G98" i="4"/>
  <c r="F98" i="4"/>
  <c r="E98" i="4"/>
  <c r="B98" i="4" a="1"/>
  <c r="B98" i="4" s="1"/>
  <c r="S97" i="4"/>
  <c r="R97" i="4"/>
  <c r="P97" i="4"/>
  <c r="O97" i="4"/>
  <c r="N97" i="4"/>
  <c r="M97" i="4"/>
  <c r="L97" i="4"/>
  <c r="K97" i="4"/>
  <c r="J97" i="4"/>
  <c r="I97" i="4"/>
  <c r="H97" i="4"/>
  <c r="G97" i="4"/>
  <c r="F97" i="4"/>
  <c r="E97" i="4"/>
  <c r="B97" i="4" a="1"/>
  <c r="B97" i="4" s="1"/>
  <c r="S96" i="4"/>
  <c r="R96" i="4"/>
  <c r="P96" i="4"/>
  <c r="O96" i="4"/>
  <c r="N96" i="4"/>
  <c r="M96" i="4"/>
  <c r="L96" i="4"/>
  <c r="K96" i="4"/>
  <c r="J96" i="4"/>
  <c r="I96" i="4"/>
  <c r="H96" i="4"/>
  <c r="G96" i="4"/>
  <c r="F96" i="4"/>
  <c r="E96" i="4"/>
  <c r="B96" i="4" a="1"/>
  <c r="B96" i="4" s="1"/>
  <c r="S95" i="4"/>
  <c r="R95" i="4"/>
  <c r="P95" i="4"/>
  <c r="O95" i="4"/>
  <c r="N95" i="4"/>
  <c r="M95" i="4"/>
  <c r="L95" i="4"/>
  <c r="K95" i="4"/>
  <c r="J95" i="4"/>
  <c r="I95" i="4"/>
  <c r="H95" i="4"/>
  <c r="G95" i="4"/>
  <c r="F95" i="4"/>
  <c r="E95" i="4"/>
  <c r="B95" i="4" a="1"/>
  <c r="B95" i="4" s="1"/>
  <c r="S94" i="4"/>
  <c r="R94" i="4"/>
  <c r="P94" i="4"/>
  <c r="O94" i="4"/>
  <c r="N94" i="4"/>
  <c r="M94" i="4"/>
  <c r="L94" i="4"/>
  <c r="K94" i="4"/>
  <c r="J94" i="4"/>
  <c r="I94" i="4"/>
  <c r="H94" i="4"/>
  <c r="G94" i="4"/>
  <c r="F94" i="4"/>
  <c r="E94" i="4"/>
  <c r="B94" i="4" a="1"/>
  <c r="B94" i="4" s="1"/>
  <c r="S93" i="4"/>
  <c r="R93" i="4"/>
  <c r="P93" i="4"/>
  <c r="O93" i="4"/>
  <c r="N93" i="4"/>
  <c r="M93" i="4"/>
  <c r="L93" i="4"/>
  <c r="K93" i="4"/>
  <c r="J93" i="4"/>
  <c r="I93" i="4"/>
  <c r="H93" i="4"/>
  <c r="G93" i="4"/>
  <c r="F93" i="4"/>
  <c r="E93" i="4"/>
  <c r="B93" i="4" a="1"/>
  <c r="B93" i="4" s="1"/>
  <c r="S92" i="4"/>
  <c r="R92" i="4"/>
  <c r="P92" i="4"/>
  <c r="O92" i="4"/>
  <c r="N92" i="4"/>
  <c r="M92" i="4"/>
  <c r="L92" i="4"/>
  <c r="K92" i="4"/>
  <c r="J92" i="4"/>
  <c r="I92" i="4"/>
  <c r="H92" i="4"/>
  <c r="G92" i="4"/>
  <c r="F92" i="4"/>
  <c r="E92" i="4"/>
  <c r="B92" i="4" a="1"/>
  <c r="B92" i="4" s="1"/>
  <c r="S91" i="4"/>
  <c r="R91" i="4"/>
  <c r="P91" i="4"/>
  <c r="O91" i="4"/>
  <c r="N91" i="4"/>
  <c r="M91" i="4"/>
  <c r="L91" i="4"/>
  <c r="K91" i="4"/>
  <c r="J91" i="4"/>
  <c r="I91" i="4"/>
  <c r="H91" i="4"/>
  <c r="G91" i="4"/>
  <c r="F91" i="4"/>
  <c r="E91" i="4"/>
  <c r="B91" i="4" a="1"/>
  <c r="B91" i="4" s="1"/>
  <c r="S90" i="4"/>
  <c r="R90" i="4"/>
  <c r="P90" i="4"/>
  <c r="O90" i="4"/>
  <c r="N90" i="4"/>
  <c r="M90" i="4"/>
  <c r="L90" i="4"/>
  <c r="K90" i="4"/>
  <c r="J90" i="4"/>
  <c r="I90" i="4"/>
  <c r="H90" i="4"/>
  <c r="G90" i="4"/>
  <c r="F90" i="4"/>
  <c r="E90" i="4"/>
  <c r="B90" i="4" a="1"/>
  <c r="B90" i="4" s="1"/>
  <c r="S89" i="4"/>
  <c r="R89" i="4"/>
  <c r="P89" i="4"/>
  <c r="O89" i="4"/>
  <c r="N89" i="4"/>
  <c r="M89" i="4"/>
  <c r="L89" i="4"/>
  <c r="K89" i="4"/>
  <c r="J89" i="4"/>
  <c r="I89" i="4"/>
  <c r="H89" i="4"/>
  <c r="G89" i="4"/>
  <c r="F89" i="4"/>
  <c r="E89" i="4"/>
  <c r="B89" i="4" a="1"/>
  <c r="B89" i="4" s="1"/>
  <c r="S88" i="4"/>
  <c r="R88" i="4"/>
  <c r="P88" i="4"/>
  <c r="O88" i="4"/>
  <c r="N88" i="4"/>
  <c r="M88" i="4"/>
  <c r="L88" i="4"/>
  <c r="K88" i="4"/>
  <c r="J88" i="4"/>
  <c r="I88" i="4"/>
  <c r="H88" i="4"/>
  <c r="G88" i="4"/>
  <c r="F88" i="4"/>
  <c r="E88" i="4"/>
  <c r="B88" i="4" a="1"/>
  <c r="B88" i="4" s="1"/>
  <c r="S87" i="4"/>
  <c r="R87" i="4"/>
  <c r="P87" i="4"/>
  <c r="O87" i="4"/>
  <c r="N87" i="4"/>
  <c r="M87" i="4"/>
  <c r="L87" i="4"/>
  <c r="K87" i="4"/>
  <c r="J87" i="4"/>
  <c r="I87" i="4"/>
  <c r="H87" i="4"/>
  <c r="G87" i="4"/>
  <c r="F87" i="4"/>
  <c r="E87" i="4"/>
  <c r="B87" i="4" a="1"/>
  <c r="B87" i="4" s="1"/>
  <c r="S86" i="4"/>
  <c r="R86" i="4"/>
  <c r="P86" i="4"/>
  <c r="O86" i="4"/>
  <c r="N86" i="4"/>
  <c r="M86" i="4"/>
  <c r="L86" i="4"/>
  <c r="K86" i="4"/>
  <c r="J86" i="4"/>
  <c r="I86" i="4"/>
  <c r="H86" i="4"/>
  <c r="G86" i="4"/>
  <c r="F86" i="4"/>
  <c r="E86" i="4"/>
  <c r="B86" i="4" a="1"/>
  <c r="B86" i="4" s="1"/>
  <c r="S85" i="4"/>
  <c r="R85" i="4"/>
  <c r="P85" i="4"/>
  <c r="O85" i="4"/>
  <c r="N85" i="4"/>
  <c r="M85" i="4"/>
  <c r="L85" i="4"/>
  <c r="K85" i="4"/>
  <c r="J85" i="4"/>
  <c r="I85" i="4"/>
  <c r="H85" i="4"/>
  <c r="G85" i="4"/>
  <c r="F85" i="4"/>
  <c r="E85" i="4"/>
  <c r="B85" i="4" a="1"/>
  <c r="B85" i="4" s="1"/>
  <c r="S84" i="4"/>
  <c r="R84" i="4"/>
  <c r="P84" i="4"/>
  <c r="O84" i="4"/>
  <c r="N84" i="4"/>
  <c r="M84" i="4"/>
  <c r="L84" i="4"/>
  <c r="K84" i="4"/>
  <c r="J84" i="4"/>
  <c r="I84" i="4"/>
  <c r="H84" i="4"/>
  <c r="G84" i="4"/>
  <c r="F84" i="4"/>
  <c r="E84" i="4"/>
  <c r="B84" i="4" a="1"/>
  <c r="B84" i="4" s="1"/>
  <c r="S83" i="4"/>
  <c r="R83" i="4"/>
  <c r="P83" i="4"/>
  <c r="O83" i="4"/>
  <c r="N83" i="4"/>
  <c r="M83" i="4"/>
  <c r="L83" i="4"/>
  <c r="K83" i="4"/>
  <c r="J83" i="4"/>
  <c r="I83" i="4"/>
  <c r="H83" i="4"/>
  <c r="G83" i="4"/>
  <c r="F83" i="4"/>
  <c r="E83" i="4"/>
  <c r="B83" i="4" a="1"/>
  <c r="B83" i="4" s="1"/>
  <c r="S82" i="4"/>
  <c r="R82" i="4"/>
  <c r="P82" i="4"/>
  <c r="O82" i="4"/>
  <c r="N82" i="4"/>
  <c r="M82" i="4"/>
  <c r="L82" i="4"/>
  <c r="K82" i="4"/>
  <c r="J82" i="4"/>
  <c r="I82" i="4"/>
  <c r="H82" i="4"/>
  <c r="G82" i="4"/>
  <c r="F82" i="4"/>
  <c r="E82" i="4"/>
  <c r="B82" i="4" a="1"/>
  <c r="B82" i="4" s="1"/>
  <c r="S81" i="4"/>
  <c r="R81" i="4"/>
  <c r="P81" i="4"/>
  <c r="O81" i="4"/>
  <c r="N81" i="4"/>
  <c r="M81" i="4"/>
  <c r="L81" i="4"/>
  <c r="K81" i="4"/>
  <c r="J81" i="4"/>
  <c r="I81" i="4"/>
  <c r="H81" i="4"/>
  <c r="G81" i="4"/>
  <c r="F81" i="4"/>
  <c r="E81" i="4"/>
  <c r="B81" i="4" a="1"/>
  <c r="B81" i="4" s="1"/>
  <c r="S80" i="4"/>
  <c r="R80" i="4"/>
  <c r="P80" i="4"/>
  <c r="O80" i="4"/>
  <c r="N80" i="4"/>
  <c r="M80" i="4"/>
  <c r="L80" i="4"/>
  <c r="K80" i="4"/>
  <c r="J80" i="4"/>
  <c r="I80" i="4"/>
  <c r="H80" i="4"/>
  <c r="G80" i="4"/>
  <c r="F80" i="4"/>
  <c r="E80" i="4"/>
  <c r="B80" i="4" a="1"/>
  <c r="B80" i="4" s="1"/>
  <c r="S79" i="4"/>
  <c r="R79" i="4"/>
  <c r="P79" i="4"/>
  <c r="O79" i="4"/>
  <c r="N79" i="4"/>
  <c r="M79" i="4"/>
  <c r="L79" i="4"/>
  <c r="K79" i="4"/>
  <c r="J79" i="4"/>
  <c r="I79" i="4"/>
  <c r="H79" i="4"/>
  <c r="G79" i="4"/>
  <c r="F79" i="4"/>
  <c r="E79" i="4"/>
  <c r="B79" i="4" a="1"/>
  <c r="B79" i="4" s="1"/>
  <c r="S78" i="4"/>
  <c r="R78" i="4"/>
  <c r="P78" i="4"/>
  <c r="O78" i="4"/>
  <c r="N78" i="4"/>
  <c r="M78" i="4"/>
  <c r="L78" i="4"/>
  <c r="K78" i="4"/>
  <c r="J78" i="4"/>
  <c r="I78" i="4"/>
  <c r="H78" i="4"/>
  <c r="G78" i="4"/>
  <c r="F78" i="4"/>
  <c r="E78" i="4"/>
  <c r="B78" i="4" a="1"/>
  <c r="B78" i="4" s="1"/>
  <c r="S77" i="4"/>
  <c r="R77" i="4"/>
  <c r="P77" i="4"/>
  <c r="O77" i="4"/>
  <c r="N77" i="4"/>
  <c r="M77" i="4"/>
  <c r="L77" i="4"/>
  <c r="K77" i="4"/>
  <c r="J77" i="4"/>
  <c r="I77" i="4"/>
  <c r="H77" i="4"/>
  <c r="G77" i="4"/>
  <c r="F77" i="4"/>
  <c r="E77" i="4"/>
  <c r="B77" i="4" a="1"/>
  <c r="B77" i="4" s="1"/>
  <c r="S76" i="4"/>
  <c r="R76" i="4"/>
  <c r="P76" i="4"/>
  <c r="O76" i="4"/>
  <c r="N76" i="4"/>
  <c r="M76" i="4"/>
  <c r="L76" i="4"/>
  <c r="K76" i="4"/>
  <c r="J76" i="4"/>
  <c r="I76" i="4"/>
  <c r="H76" i="4"/>
  <c r="G76" i="4"/>
  <c r="F76" i="4"/>
  <c r="E76" i="4"/>
  <c r="B76" i="4" a="1"/>
  <c r="B76" i="4" s="1"/>
  <c r="S75" i="4"/>
  <c r="R75" i="4"/>
  <c r="P75" i="4"/>
  <c r="O75" i="4"/>
  <c r="N75" i="4"/>
  <c r="M75" i="4"/>
  <c r="L75" i="4"/>
  <c r="K75" i="4"/>
  <c r="J75" i="4"/>
  <c r="I75" i="4"/>
  <c r="H75" i="4"/>
  <c r="G75" i="4"/>
  <c r="F75" i="4"/>
  <c r="E75" i="4"/>
  <c r="B75" i="4" a="1"/>
  <c r="B75" i="4" s="1"/>
  <c r="S74" i="4"/>
  <c r="R74" i="4"/>
  <c r="P74" i="4"/>
  <c r="O74" i="4"/>
  <c r="N74" i="4"/>
  <c r="M74" i="4"/>
  <c r="L74" i="4"/>
  <c r="K74" i="4"/>
  <c r="J74" i="4"/>
  <c r="I74" i="4"/>
  <c r="H74" i="4"/>
  <c r="G74" i="4"/>
  <c r="F74" i="4"/>
  <c r="E74" i="4"/>
  <c r="B74" i="4" a="1"/>
  <c r="B74" i="4" s="1"/>
  <c r="S73" i="4"/>
  <c r="R73" i="4"/>
  <c r="P73" i="4"/>
  <c r="O73" i="4"/>
  <c r="N73" i="4"/>
  <c r="M73" i="4"/>
  <c r="L73" i="4"/>
  <c r="K73" i="4"/>
  <c r="J73" i="4"/>
  <c r="I73" i="4"/>
  <c r="H73" i="4"/>
  <c r="G73" i="4"/>
  <c r="F73" i="4"/>
  <c r="E73" i="4"/>
  <c r="B73" i="4" a="1"/>
  <c r="B73" i="4" s="1"/>
  <c r="S72" i="4"/>
  <c r="R72" i="4"/>
  <c r="P72" i="4"/>
  <c r="O72" i="4"/>
  <c r="N72" i="4"/>
  <c r="M72" i="4"/>
  <c r="L72" i="4"/>
  <c r="K72" i="4"/>
  <c r="J72" i="4"/>
  <c r="I72" i="4"/>
  <c r="H72" i="4"/>
  <c r="G72" i="4"/>
  <c r="F72" i="4"/>
  <c r="E72" i="4"/>
  <c r="B72" i="4" a="1"/>
  <c r="B72" i="4" s="1"/>
  <c r="S71" i="4"/>
  <c r="R71" i="4"/>
  <c r="P71" i="4"/>
  <c r="O71" i="4"/>
  <c r="N71" i="4"/>
  <c r="M71" i="4"/>
  <c r="L71" i="4"/>
  <c r="K71" i="4"/>
  <c r="J71" i="4"/>
  <c r="I71" i="4"/>
  <c r="H71" i="4"/>
  <c r="G71" i="4"/>
  <c r="F71" i="4"/>
  <c r="E71" i="4"/>
  <c r="B71" i="4" a="1"/>
  <c r="B71" i="4" s="1"/>
  <c r="S70" i="4"/>
  <c r="R70" i="4"/>
  <c r="P70" i="4"/>
  <c r="O70" i="4"/>
  <c r="N70" i="4"/>
  <c r="M70" i="4"/>
  <c r="L70" i="4"/>
  <c r="K70" i="4"/>
  <c r="J70" i="4"/>
  <c r="I70" i="4"/>
  <c r="H70" i="4"/>
  <c r="G70" i="4"/>
  <c r="F70" i="4"/>
  <c r="E70" i="4"/>
  <c r="B70" i="4" a="1"/>
  <c r="B70" i="4" s="1"/>
  <c r="S69" i="4"/>
  <c r="F69" i="4"/>
  <c r="D69" i="4"/>
  <c r="C69" i="4"/>
  <c r="K69" i="4" s="1"/>
  <c r="S68" i="4"/>
  <c r="D68" i="4"/>
  <c r="C68" i="4"/>
  <c r="L68" i="4" s="1"/>
  <c r="S67" i="4"/>
  <c r="G67" i="4"/>
  <c r="D67" i="4"/>
  <c r="C67" i="4"/>
  <c r="K67" i="4" s="1"/>
  <c r="S66" i="4"/>
  <c r="D66" i="4"/>
  <c r="C66" i="4"/>
  <c r="K66" i="4" s="1"/>
  <c r="S65" i="4"/>
  <c r="G65" i="4"/>
  <c r="D65" i="4"/>
  <c r="C65" i="4"/>
  <c r="P65" i="4" s="1"/>
  <c r="S64" i="4"/>
  <c r="D64" i="4"/>
  <c r="C64" i="4"/>
  <c r="L64" i="4" s="1"/>
  <c r="S63" i="4"/>
  <c r="D63" i="4"/>
  <c r="C63" i="4"/>
  <c r="E63" i="4" s="1"/>
  <c r="S62" i="4"/>
  <c r="M62" i="4"/>
  <c r="D62" i="4"/>
  <c r="C62" i="4"/>
  <c r="K62" i="4" s="1"/>
  <c r="S61" i="4"/>
  <c r="D61" i="4"/>
  <c r="C61" i="4"/>
  <c r="P61" i="4" s="1"/>
  <c r="S60" i="4"/>
  <c r="N60" i="4"/>
  <c r="D60" i="4"/>
  <c r="C60" i="4"/>
  <c r="L60" i="4" s="1"/>
  <c r="S59" i="4"/>
  <c r="D59" i="4"/>
  <c r="C59" i="4"/>
  <c r="H59" i="4" s="1"/>
  <c r="S58" i="4"/>
  <c r="O58" i="4"/>
  <c r="N58" i="4"/>
  <c r="G58" i="4"/>
  <c r="D58" i="4"/>
  <c r="C58" i="4"/>
  <c r="I58" i="4" s="1"/>
  <c r="S57" i="4"/>
  <c r="P57" i="4"/>
  <c r="H57" i="4"/>
  <c r="G57" i="4"/>
  <c r="F57" i="4"/>
  <c r="D57" i="4"/>
  <c r="C57" i="4"/>
  <c r="O57" i="4" s="1"/>
  <c r="S56" i="4"/>
  <c r="D56" i="4"/>
  <c r="C56" i="4"/>
  <c r="L56" i="4" s="1"/>
  <c r="S55" i="4"/>
  <c r="K55" i="4"/>
  <c r="J55" i="4"/>
  <c r="D55" i="4"/>
  <c r="C55" i="4"/>
  <c r="I55" i="4" s="1"/>
  <c r="S54" i="4"/>
  <c r="O54" i="4"/>
  <c r="N54" i="4"/>
  <c r="E54" i="4"/>
  <c r="D54" i="4"/>
  <c r="C54" i="4"/>
  <c r="F54" i="4" s="1"/>
  <c r="S53" i="4"/>
  <c r="D53" i="4"/>
  <c r="C53" i="4"/>
  <c r="O53" i="4" s="1"/>
  <c r="S52" i="4"/>
  <c r="E52" i="4"/>
  <c r="D52" i="4"/>
  <c r="C52" i="4"/>
  <c r="L52" i="4" s="1"/>
  <c r="S51" i="4"/>
  <c r="D51" i="4"/>
  <c r="C51" i="4"/>
  <c r="P51" i="4" s="1"/>
  <c r="B51" i="4" a="1"/>
  <c r="B51" i="4" s="1"/>
  <c r="S50" i="4"/>
  <c r="D50" i="4"/>
  <c r="C50" i="4"/>
  <c r="O50" i="4" s="1"/>
  <c r="S49" i="4"/>
  <c r="D49" i="4"/>
  <c r="C49" i="4"/>
  <c r="M49" i="4" s="1"/>
  <c r="S48" i="4"/>
  <c r="H48" i="4"/>
  <c r="D48" i="4"/>
  <c r="C48" i="4"/>
  <c r="L48" i="4" s="1"/>
  <c r="S47" i="4"/>
  <c r="D47" i="4"/>
  <c r="C47" i="4"/>
  <c r="L47" i="4" s="1"/>
  <c r="S46" i="4"/>
  <c r="D46" i="4"/>
  <c r="C46" i="4"/>
  <c r="O46" i="4" s="1"/>
  <c r="S45" i="4"/>
  <c r="D45" i="4"/>
  <c r="C45" i="4"/>
  <c r="I45" i="4" s="1"/>
  <c r="S44" i="4"/>
  <c r="D44" i="4"/>
  <c r="C44" i="4"/>
  <c r="K44" i="4" s="1"/>
  <c r="B44" i="4" a="1"/>
  <c r="B44" i="4" s="1"/>
  <c r="S43" i="4"/>
  <c r="D43" i="4"/>
  <c r="C43" i="4"/>
  <c r="S42" i="4"/>
  <c r="D42" i="4"/>
  <c r="C42" i="4"/>
  <c r="O42" i="4" s="1"/>
  <c r="S41" i="4"/>
  <c r="P41" i="4"/>
  <c r="J41" i="4"/>
  <c r="H41" i="4"/>
  <c r="D41" i="4"/>
  <c r="C41" i="4"/>
  <c r="I41" i="4" s="1"/>
  <c r="S40" i="4"/>
  <c r="D40" i="4"/>
  <c r="C40" i="4"/>
  <c r="K40" i="4" s="1"/>
  <c r="S39" i="4"/>
  <c r="D39" i="4"/>
  <c r="C39" i="4"/>
  <c r="N39" i="4" s="1"/>
  <c r="S38" i="4"/>
  <c r="D38" i="4"/>
  <c r="C38" i="4"/>
  <c r="M38" i="4" s="1"/>
  <c r="S37" i="4"/>
  <c r="P37" i="4"/>
  <c r="D37" i="4"/>
  <c r="C37" i="4"/>
  <c r="I37" i="4" s="1"/>
  <c r="S36" i="4"/>
  <c r="J36" i="4"/>
  <c r="D36" i="4"/>
  <c r="C36" i="4"/>
  <c r="K36" i="4" s="1"/>
  <c r="B36" i="4" a="1"/>
  <c r="B36" i="4" s="1"/>
  <c r="S35" i="4"/>
  <c r="D35" i="4"/>
  <c r="C35" i="4"/>
  <c r="H35" i="4" s="1"/>
  <c r="S34" i="4"/>
  <c r="D34" i="4"/>
  <c r="C34" i="4"/>
  <c r="M34" i="4" s="1"/>
  <c r="S33" i="4"/>
  <c r="D33" i="4"/>
  <c r="C33" i="4"/>
  <c r="I33" i="4" s="1"/>
  <c r="B33" i="4" a="1"/>
  <c r="B33" i="4" s="1"/>
  <c r="S32" i="4"/>
  <c r="I32" i="4"/>
  <c r="H32" i="4"/>
  <c r="G32" i="4"/>
  <c r="F32" i="4"/>
  <c r="D32" i="4"/>
  <c r="C32" i="4"/>
  <c r="K32" i="4" s="1"/>
  <c r="S31" i="4"/>
  <c r="D31" i="4"/>
  <c r="C31" i="4"/>
  <c r="N31" i="4" s="1"/>
  <c r="S30" i="4"/>
  <c r="D30" i="4"/>
  <c r="C30" i="4"/>
  <c r="L30" i="4" s="1"/>
  <c r="B30" i="4" a="1"/>
  <c r="B30" i="4" s="1"/>
  <c r="S29" i="4"/>
  <c r="D29" i="4"/>
  <c r="C29" i="4"/>
  <c r="I29" i="4" s="1"/>
  <c r="S28" i="4"/>
  <c r="D28" i="4"/>
  <c r="C28" i="4"/>
  <c r="K28" i="4" s="1"/>
  <c r="S27" i="4"/>
  <c r="D27" i="4"/>
  <c r="C27" i="4"/>
  <c r="S26" i="4"/>
  <c r="D26" i="4"/>
  <c r="C26" i="4"/>
  <c r="M26" i="4" s="1"/>
  <c r="S25" i="4"/>
  <c r="O25" i="4"/>
  <c r="D25" i="4"/>
  <c r="C25" i="4"/>
  <c r="I25" i="4" s="1"/>
  <c r="B25" i="4" a="1"/>
  <c r="B25" i="4" s="1"/>
  <c r="S24" i="4"/>
  <c r="D24" i="4"/>
  <c r="C24" i="4"/>
  <c r="K24" i="4" s="1"/>
  <c r="S23" i="4"/>
  <c r="D23" i="4"/>
  <c r="C23" i="4"/>
  <c r="B23" i="4" s="1" a="1"/>
  <c r="B23" i="4" s="1"/>
  <c r="S22" i="4"/>
  <c r="D22" i="4"/>
  <c r="C22" i="4"/>
  <c r="M22" i="4" s="1"/>
  <c r="S21" i="4"/>
  <c r="D21" i="4"/>
  <c r="C21" i="4"/>
  <c r="I21" i="4" s="1"/>
  <c r="S20" i="4"/>
  <c r="N20" i="4"/>
  <c r="I20" i="4"/>
  <c r="H20" i="4"/>
  <c r="G20" i="4"/>
  <c r="D20" i="4"/>
  <c r="C20" i="4"/>
  <c r="K20" i="4" s="1"/>
  <c r="S19" i="4"/>
  <c r="N19" i="4"/>
  <c r="K19" i="4"/>
  <c r="J19" i="4"/>
  <c r="D19" i="4"/>
  <c r="C19" i="4"/>
  <c r="I19" i="4" s="1"/>
  <c r="B19" i="4" a="1"/>
  <c r="B19" i="4" s="1"/>
  <c r="S18" i="4"/>
  <c r="D18" i="4"/>
  <c r="C18" i="4"/>
  <c r="M18" i="4" s="1"/>
  <c r="S17" i="4"/>
  <c r="D17" i="4"/>
  <c r="C17" i="4"/>
  <c r="I17" i="4" s="1"/>
  <c r="S16" i="4"/>
  <c r="D16" i="4"/>
  <c r="C16" i="4"/>
  <c r="K16" i="4" s="1"/>
  <c r="S15" i="4"/>
  <c r="D15" i="4"/>
  <c r="C15" i="4"/>
  <c r="N15" i="4" s="1"/>
  <c r="B15" i="4" a="1"/>
  <c r="B15" i="4" s="1"/>
  <c r="S14" i="4"/>
  <c r="D14" i="4"/>
  <c r="C14" i="4"/>
  <c r="M14" i="4" s="1"/>
  <c r="S13" i="4"/>
  <c r="D13" i="4"/>
  <c r="C13" i="4"/>
  <c r="I13" i="4" s="1"/>
  <c r="S12" i="4"/>
  <c r="J12" i="4"/>
  <c r="I12" i="4"/>
  <c r="H12" i="4"/>
  <c r="D12" i="4"/>
  <c r="C12" i="4"/>
  <c r="K12" i="4" s="1"/>
  <c r="B12" i="4" a="1"/>
  <c r="B12" i="4" s="1"/>
  <c r="S11" i="4"/>
  <c r="K11" i="4"/>
  <c r="D11" i="4"/>
  <c r="C11" i="4"/>
  <c r="N11" i="4" s="1"/>
  <c r="S10" i="4"/>
  <c r="D10" i="4"/>
  <c r="C10" i="4"/>
  <c r="S9" i="4"/>
  <c r="D9" i="4"/>
  <c r="C9" i="4"/>
  <c r="I9" i="4" s="1"/>
  <c r="S8" i="4"/>
  <c r="D8" i="4"/>
  <c r="C8" i="4"/>
  <c r="K8" i="4" s="1"/>
  <c r="S7" i="4"/>
  <c r="D7" i="4"/>
  <c r="C7" i="4"/>
  <c r="N7" i="4" s="1"/>
  <c r="S6" i="4"/>
  <c r="D6" i="4"/>
  <c r="C6" i="4"/>
  <c r="B6" i="4" s="1" a="1"/>
  <c r="B6" i="4" s="1"/>
  <c r="S5" i="4"/>
  <c r="M5" i="4"/>
  <c r="L5" i="4"/>
  <c r="D5" i="4"/>
  <c r="C5" i="4"/>
  <c r="I5" i="4" s="1"/>
  <c r="B5" i="4" a="1"/>
  <c r="B5" i="4" s="1"/>
  <c r="S4" i="4"/>
  <c r="D4" i="4"/>
  <c r="C4" i="4"/>
  <c r="K4" i="4" s="1"/>
  <c r="S2" i="4"/>
  <c r="N12" i="4" l="1"/>
  <c r="L13" i="4"/>
  <c r="O36" i="4"/>
  <c r="N57" i="4"/>
  <c r="G69" i="4"/>
  <c r="O12" i="4"/>
  <c r="M13" i="4"/>
  <c r="P20" i="4"/>
  <c r="G28" i="4"/>
  <c r="B32" i="4" a="1"/>
  <c r="B32" i="4" s="1"/>
  <c r="J32" i="4"/>
  <c r="J33" i="4"/>
  <c r="F35" i="4"/>
  <c r="E36" i="4"/>
  <c r="P36" i="4"/>
  <c r="E51" i="4"/>
  <c r="E68" i="4"/>
  <c r="J13" i="4"/>
  <c r="N36" i="4"/>
  <c r="E41" i="4"/>
  <c r="O51" i="4"/>
  <c r="B55" i="4" a="1"/>
  <c r="B55" i="4" s="1"/>
  <c r="F68" i="4"/>
  <c r="F28" i="4"/>
  <c r="L33" i="4"/>
  <c r="I35" i="4"/>
  <c r="F36" i="4"/>
  <c r="J9" i="4"/>
  <c r="I11" i="4"/>
  <c r="F12" i="4"/>
  <c r="O32" i="4"/>
  <c r="F41" i="4"/>
  <c r="O59" i="4"/>
  <c r="G63" i="4"/>
  <c r="N68" i="4"/>
  <c r="J4" i="4"/>
  <c r="P4" i="4"/>
  <c r="E12" i="4"/>
  <c r="P12" i="4"/>
  <c r="H28" i="4"/>
  <c r="N32" i="4"/>
  <c r="F23" i="4"/>
  <c r="E25" i="4"/>
  <c r="J28" i="4"/>
  <c r="J35" i="4"/>
  <c r="G36" i="4"/>
  <c r="B4" i="4" a="1"/>
  <c r="B4" i="4" s="1"/>
  <c r="O9" i="4"/>
  <c r="J11" i="4"/>
  <c r="G12" i="4"/>
  <c r="B13" i="4" a="1"/>
  <c r="B13" i="4" s="1"/>
  <c r="F20" i="4"/>
  <c r="M25" i="4"/>
  <c r="M28" i="4"/>
  <c r="E32" i="4"/>
  <c r="P32" i="4"/>
  <c r="R32" i="4" s="1"/>
  <c r="K35" i="4"/>
  <c r="H36" i="4"/>
  <c r="G41" i="4"/>
  <c r="B62" i="4" a="1"/>
  <c r="B62" i="4" s="1"/>
  <c r="H63" i="4"/>
  <c r="F65" i="4"/>
  <c r="E67" i="4"/>
  <c r="B28" i="4" a="1"/>
  <c r="B28" i="4" s="1"/>
  <c r="O28" i="4"/>
  <c r="I36" i="4"/>
  <c r="B64" i="4" a="1"/>
  <c r="B64" i="4" s="1"/>
  <c r="E29" i="4"/>
  <c r="J31" i="4"/>
  <c r="I15" i="4"/>
  <c r="L18" i="4"/>
  <c r="F21" i="4"/>
  <c r="E6" i="4"/>
  <c r="H7" i="4"/>
  <c r="I16" i="4"/>
  <c r="J17" i="4"/>
  <c r="O20" i="4"/>
  <c r="G21" i="4"/>
  <c r="E22" i="4"/>
  <c r="N28" i="4"/>
  <c r="G29" i="4"/>
  <c r="L34" i="4"/>
  <c r="J38" i="4"/>
  <c r="B41" i="4" a="1"/>
  <c r="B41" i="4" s="1"/>
  <c r="L41" i="4"/>
  <c r="J42" i="4"/>
  <c r="H51" i="4"/>
  <c r="G52" i="4"/>
  <c r="G54" i="4"/>
  <c r="E61" i="4"/>
  <c r="H67" i="4"/>
  <c r="M68" i="4"/>
  <c r="G16" i="4"/>
  <c r="H16" i="4"/>
  <c r="K47" i="4"/>
  <c r="H29" i="4"/>
  <c r="K30" i="4"/>
  <c r="E37" i="4"/>
  <c r="N41" i="4"/>
  <c r="L42" i="4"/>
  <c r="E46" i="4"/>
  <c r="J51" i="4"/>
  <c r="I54" i="4"/>
  <c r="E59" i="4"/>
  <c r="E60" i="4"/>
  <c r="F61" i="4"/>
  <c r="M64" i="4"/>
  <c r="O67" i="4"/>
  <c r="O21" i="4"/>
  <c r="E21" i="4"/>
  <c r="F29" i="4"/>
  <c r="G4" i="4"/>
  <c r="J6" i="4"/>
  <c r="J7" i="4"/>
  <c r="E9" i="4"/>
  <c r="H14" i="4"/>
  <c r="J16" i="4"/>
  <c r="L17" i="4"/>
  <c r="J21" i="4"/>
  <c r="H4" i="4"/>
  <c r="J5" i="4"/>
  <c r="K6" i="4"/>
  <c r="K7" i="4"/>
  <c r="F9" i="4"/>
  <c r="M12" i="4"/>
  <c r="G13" i="4"/>
  <c r="K14" i="4"/>
  <c r="L16" i="4"/>
  <c r="M17" i="4"/>
  <c r="E20" i="4"/>
  <c r="L21" i="4"/>
  <c r="L26" i="4"/>
  <c r="E28" i="4"/>
  <c r="P28" i="4"/>
  <c r="J29" i="4"/>
  <c r="M30" i="4"/>
  <c r="M32" i="4"/>
  <c r="G33" i="4"/>
  <c r="M36" i="4"/>
  <c r="F37" i="4"/>
  <c r="O41" i="4"/>
  <c r="M42" i="4"/>
  <c r="J44" i="4"/>
  <c r="J46" i="4"/>
  <c r="K51" i="4"/>
  <c r="J54" i="4"/>
  <c r="H55" i="4"/>
  <c r="G59" i="4"/>
  <c r="G60" i="4"/>
  <c r="O61" i="4"/>
  <c r="O66" i="4"/>
  <c r="P67" i="4"/>
  <c r="P29" i="4"/>
  <c r="I47" i="4"/>
  <c r="F7" i="4"/>
  <c r="I4" i="4"/>
  <c r="L6" i="4"/>
  <c r="G9" i="4"/>
  <c r="B16" i="4" a="1"/>
  <c r="B16" i="4" s="1"/>
  <c r="P16" i="4"/>
  <c r="N17" i="4"/>
  <c r="B21" i="4" a="1"/>
  <c r="B21" i="4" s="1"/>
  <c r="M21" i="4"/>
  <c r="O29" i="4"/>
  <c r="O37" i="4"/>
  <c r="I59" i="4"/>
  <c r="H60" i="4"/>
  <c r="B17" i="4" a="1"/>
  <c r="B17" i="4" s="1"/>
  <c r="B42" i="4" a="1"/>
  <c r="B42" i="4" s="1"/>
  <c r="P59" i="4"/>
  <c r="F8" i="4"/>
  <c r="O8" i="4"/>
  <c r="N62" i="4"/>
  <c r="N64" i="4"/>
  <c r="L8" i="4"/>
  <c r="L24" i="4"/>
  <c r="N5" i="4"/>
  <c r="I23" i="4"/>
  <c r="G8" i="4"/>
  <c r="P8" i="4"/>
  <c r="E24" i="4"/>
  <c r="F25" i="4"/>
  <c r="M33" i="4"/>
  <c r="G61" i="4"/>
  <c r="O62" i="4"/>
  <c r="I63" i="4"/>
  <c r="O64" i="4"/>
  <c r="H65" i="4"/>
  <c r="O68" i="4"/>
  <c r="M69" i="4"/>
  <c r="N13" i="4"/>
  <c r="K22" i="4"/>
  <c r="J23" i="4"/>
  <c r="N24" i="4"/>
  <c r="G37" i="4"/>
  <c r="E40" i="4"/>
  <c r="N40" i="4"/>
  <c r="M44" i="4"/>
  <c r="E45" i="4"/>
  <c r="O45" i="4"/>
  <c r="L46" i="4"/>
  <c r="E50" i="4"/>
  <c r="H52" i="4"/>
  <c r="E53" i="4"/>
  <c r="M55" i="4"/>
  <c r="E56" i="4"/>
  <c r="O56" i="4"/>
  <c r="M4" i="4"/>
  <c r="E5" i="4"/>
  <c r="M6" i="4"/>
  <c r="H8" i="4"/>
  <c r="L9" i="4"/>
  <c r="L12" i="4"/>
  <c r="O13" i="4"/>
  <c r="M16" i="4"/>
  <c r="E17" i="4"/>
  <c r="F19" i="4"/>
  <c r="B20" i="4" a="1"/>
  <c r="B20" i="4" s="1"/>
  <c r="J20" i="4"/>
  <c r="N21" i="4"/>
  <c r="L22" i="4"/>
  <c r="K23" i="4"/>
  <c r="F24" i="4"/>
  <c r="O24" i="4"/>
  <c r="G25" i="4"/>
  <c r="I28" i="4"/>
  <c r="B29" i="4" a="1"/>
  <c r="B29" i="4" s="1"/>
  <c r="L29" i="4"/>
  <c r="L32" i="4"/>
  <c r="N33" i="4"/>
  <c r="B35" i="4" a="1"/>
  <c r="B35" i="4" s="1"/>
  <c r="N35" i="4"/>
  <c r="H37" i="4"/>
  <c r="B38" i="4" a="1"/>
  <c r="B38" i="4" s="1"/>
  <c r="H39" i="4"/>
  <c r="F40" i="4"/>
  <c r="O40" i="4"/>
  <c r="E44" i="4"/>
  <c r="N44" i="4"/>
  <c r="F45" i="4"/>
  <c r="P45" i="4"/>
  <c r="M46" i="4"/>
  <c r="B48" i="4" a="1"/>
  <c r="B48" i="4" s="1"/>
  <c r="H49" i="4"/>
  <c r="G50" i="4"/>
  <c r="I52" i="4"/>
  <c r="G53" i="4"/>
  <c r="B54" i="4" a="1"/>
  <c r="B54" i="4" s="1"/>
  <c r="K54" i="4"/>
  <c r="O55" i="4"/>
  <c r="F56" i="4"/>
  <c r="P56" i="4"/>
  <c r="I57" i="4"/>
  <c r="O60" i="4"/>
  <c r="H61" i="4"/>
  <c r="E62" i="4"/>
  <c r="K63" i="4"/>
  <c r="E64" i="4"/>
  <c r="P64" i="4"/>
  <c r="K65" i="4"/>
  <c r="E66" i="4"/>
  <c r="P68" i="4"/>
  <c r="N69" i="4"/>
  <c r="N56" i="4"/>
  <c r="O17" i="4"/>
  <c r="E4" i="4"/>
  <c r="N4" i="4"/>
  <c r="F5" i="4"/>
  <c r="I8" i="4"/>
  <c r="B9" i="4" a="1"/>
  <c r="B9" i="4" s="1"/>
  <c r="M9" i="4"/>
  <c r="E13" i="4"/>
  <c r="E16" i="4"/>
  <c r="N16" i="4"/>
  <c r="F17" i="4"/>
  <c r="H19" i="4"/>
  <c r="L20" i="4"/>
  <c r="N23" i="4"/>
  <c r="G24" i="4"/>
  <c r="P24" i="4"/>
  <c r="J25" i="4"/>
  <c r="J26" i="4"/>
  <c r="M29" i="4"/>
  <c r="E30" i="4"/>
  <c r="F31" i="4"/>
  <c r="E33" i="4"/>
  <c r="O33" i="4"/>
  <c r="J37" i="4"/>
  <c r="J39" i="4"/>
  <c r="G40" i="4"/>
  <c r="P40" i="4"/>
  <c r="F44" i="4"/>
  <c r="O44" i="4"/>
  <c r="G45" i="4"/>
  <c r="K49" i="4"/>
  <c r="I50" i="4"/>
  <c r="J52" i="4"/>
  <c r="H53" i="4"/>
  <c r="M54" i="4"/>
  <c r="E55" i="4"/>
  <c r="P55" i="4"/>
  <c r="G56" i="4"/>
  <c r="K57" i="4"/>
  <c r="E58" i="4"/>
  <c r="P60" i="4"/>
  <c r="N61" i="4"/>
  <c r="F62" i="4"/>
  <c r="B63" i="4" a="1"/>
  <c r="B63" i="4" s="1"/>
  <c r="M63" i="4"/>
  <c r="F64" i="4"/>
  <c r="M65" i="4"/>
  <c r="F66" i="4"/>
  <c r="O69" i="4"/>
  <c r="E8" i="4"/>
  <c r="N8" i="4"/>
  <c r="L40" i="4"/>
  <c r="M45" i="4"/>
  <c r="P53" i="4"/>
  <c r="M56" i="4"/>
  <c r="H22" i="4"/>
  <c r="M24" i="4"/>
  <c r="M40" i="4"/>
  <c r="L44" i="4"/>
  <c r="N45" i="4"/>
  <c r="L4" i="4"/>
  <c r="O5" i="4"/>
  <c r="F4" i="4"/>
  <c r="O4" i="4"/>
  <c r="G5" i="4"/>
  <c r="B8" i="4" a="1"/>
  <c r="B8" i="4" s="1"/>
  <c r="J8" i="4"/>
  <c r="N9" i="4"/>
  <c r="F13" i="4"/>
  <c r="F16" i="4"/>
  <c r="O16" i="4"/>
  <c r="G17" i="4"/>
  <c r="M20" i="4"/>
  <c r="H24" i="4"/>
  <c r="L25" i="4"/>
  <c r="K26" i="4"/>
  <c r="L28" i="4"/>
  <c r="N29" i="4"/>
  <c r="J30" i="4"/>
  <c r="H31" i="4"/>
  <c r="F33" i="4"/>
  <c r="P33" i="4"/>
  <c r="B37" i="4" a="1"/>
  <c r="B37" i="4" s="1"/>
  <c r="L37" i="4"/>
  <c r="H40" i="4"/>
  <c r="G44" i="4"/>
  <c r="P44" i="4"/>
  <c r="H45" i="4"/>
  <c r="B46" i="4" a="1"/>
  <c r="B46" i="4" s="1"/>
  <c r="B47" i="4" a="1"/>
  <c r="B47" i="4" s="1"/>
  <c r="J50" i="4"/>
  <c r="B52" i="4" a="1"/>
  <c r="B52" i="4" s="1"/>
  <c r="N52" i="4"/>
  <c r="I53" i="4"/>
  <c r="G55" i="4"/>
  <c r="H56" i="4"/>
  <c r="M57" i="4"/>
  <c r="F58" i="4"/>
  <c r="G62" i="4"/>
  <c r="O63" i="4"/>
  <c r="G64" i="4"/>
  <c r="N65" i="4"/>
  <c r="G66" i="4"/>
  <c r="P69" i="4"/>
  <c r="I24" i="4"/>
  <c r="M37" i="4"/>
  <c r="I40" i="4"/>
  <c r="H44" i="4"/>
  <c r="J45" i="4"/>
  <c r="K50" i="4"/>
  <c r="P52" i="4"/>
  <c r="K53" i="4"/>
  <c r="I56" i="4"/>
  <c r="I62" i="4"/>
  <c r="P63" i="4"/>
  <c r="H64" i="4"/>
  <c r="O65" i="4"/>
  <c r="M66" i="4"/>
  <c r="R12" i="4"/>
  <c r="M8" i="4"/>
  <c r="B24" i="4" a="1"/>
  <c r="B24" i="4" s="1"/>
  <c r="J24" i="4"/>
  <c r="N25" i="4"/>
  <c r="K31" i="4"/>
  <c r="H33" i="4"/>
  <c r="L36" i="4"/>
  <c r="N37" i="4"/>
  <c r="B40" i="4" a="1"/>
  <c r="B40" i="4" s="1"/>
  <c r="J40" i="4"/>
  <c r="M41" i="4"/>
  <c r="E42" i="4"/>
  <c r="I44" i="4"/>
  <c r="B45" i="4" a="1"/>
  <c r="B45" i="4" s="1"/>
  <c r="L45" i="4"/>
  <c r="J48" i="4"/>
  <c r="B50" i="4" a="1"/>
  <c r="B50" i="4" s="1"/>
  <c r="N50" i="4"/>
  <c r="I51" i="4"/>
  <c r="N53" i="4"/>
  <c r="B56" i="4" a="1"/>
  <c r="B56" i="4" s="1"/>
  <c r="J56" i="4"/>
  <c r="E57" i="4"/>
  <c r="F60" i="4"/>
  <c r="J64" i="4"/>
  <c r="E65" i="4"/>
  <c r="N66" i="4"/>
  <c r="M67" i="4"/>
  <c r="G68" i="4"/>
  <c r="E69" i="4"/>
  <c r="M27" i="4"/>
  <c r="E27" i="4"/>
  <c r="L27" i="4"/>
  <c r="O27" i="4"/>
  <c r="G27" i="4"/>
  <c r="P27" i="4"/>
  <c r="M43" i="4"/>
  <c r="E43" i="4"/>
  <c r="L43" i="4"/>
  <c r="K43" i="4"/>
  <c r="I43" i="4"/>
  <c r="O43" i="4"/>
  <c r="G43" i="4"/>
  <c r="N43" i="4"/>
  <c r="F43" i="4"/>
  <c r="J14" i="4"/>
  <c r="M15" i="4"/>
  <c r="E15" i="4"/>
  <c r="L15" i="4"/>
  <c r="O15" i="4"/>
  <c r="G15" i="4"/>
  <c r="P15" i="4"/>
  <c r="B18" i="4" a="1"/>
  <c r="B18" i="4" s="1"/>
  <c r="B34" i="4" a="1"/>
  <c r="B34" i="4" s="1"/>
  <c r="O38" i="4"/>
  <c r="G38" i="4"/>
  <c r="N38" i="4"/>
  <c r="F38" i="4"/>
  <c r="I38" i="4"/>
  <c r="P38" i="4"/>
  <c r="I39" i="4"/>
  <c r="O10" i="4"/>
  <c r="G10" i="4"/>
  <c r="N10" i="4"/>
  <c r="F10" i="4"/>
  <c r="I10" i="4"/>
  <c r="P10" i="4"/>
  <c r="O18" i="4"/>
  <c r="G18" i="4"/>
  <c r="N18" i="4"/>
  <c r="F18" i="4"/>
  <c r="I18" i="4"/>
  <c r="P18" i="4"/>
  <c r="O34" i="4"/>
  <c r="G34" i="4"/>
  <c r="N34" i="4"/>
  <c r="F34" i="4"/>
  <c r="I34" i="4"/>
  <c r="P34" i="4"/>
  <c r="H43" i="4"/>
  <c r="F27" i="4"/>
  <c r="O6" i="4"/>
  <c r="G6" i="4"/>
  <c r="N6" i="4"/>
  <c r="F6" i="4"/>
  <c r="I6" i="4"/>
  <c r="P6" i="4"/>
  <c r="I7" i="4"/>
  <c r="H10" i="4"/>
  <c r="B11" i="4" a="1"/>
  <c r="B11" i="4" s="1"/>
  <c r="L14" i="4"/>
  <c r="F15" i="4"/>
  <c r="J22" i="4"/>
  <c r="M23" i="4"/>
  <c r="E23" i="4"/>
  <c r="L23" i="4"/>
  <c r="O23" i="4"/>
  <c r="G23" i="4"/>
  <c r="P23" i="4"/>
  <c r="B26" i="4" a="1"/>
  <c r="B26" i="4" s="1"/>
  <c r="H27" i="4"/>
  <c r="O30" i="4"/>
  <c r="G30" i="4"/>
  <c r="N30" i="4"/>
  <c r="F30" i="4"/>
  <c r="I30" i="4"/>
  <c r="P30" i="4"/>
  <c r="I31" i="4"/>
  <c r="E38" i="4"/>
  <c r="K39" i="4"/>
  <c r="J43" i="4"/>
  <c r="E10" i="4"/>
  <c r="J10" i="4"/>
  <c r="M11" i="4"/>
  <c r="E11" i="4"/>
  <c r="L11" i="4"/>
  <c r="O11" i="4"/>
  <c r="G11" i="4"/>
  <c r="P11" i="4"/>
  <c r="B14" i="4" a="1"/>
  <c r="B14" i="4" s="1"/>
  <c r="H15" i="4"/>
  <c r="E18" i="4"/>
  <c r="O26" i="4"/>
  <c r="G26" i="4"/>
  <c r="N26" i="4"/>
  <c r="F26" i="4"/>
  <c r="I26" i="4"/>
  <c r="P26" i="4"/>
  <c r="I27" i="4"/>
  <c r="E34" i="4"/>
  <c r="H38" i="4"/>
  <c r="B39" i="4" a="1"/>
  <c r="B39" i="4" s="1"/>
  <c r="P43" i="4"/>
  <c r="O14" i="4"/>
  <c r="G14" i="4"/>
  <c r="N14" i="4"/>
  <c r="F14" i="4"/>
  <c r="I14" i="4"/>
  <c r="P14" i="4"/>
  <c r="H18" i="4"/>
  <c r="H34" i="4"/>
  <c r="M39" i="4"/>
  <c r="E39" i="4"/>
  <c r="L39" i="4"/>
  <c r="O39" i="4"/>
  <c r="G39" i="4"/>
  <c r="P39" i="4"/>
  <c r="J27" i="4"/>
  <c r="H6" i="4"/>
  <c r="B7" i="4" a="1"/>
  <c r="B7" i="4" s="1"/>
  <c r="L10" i="4"/>
  <c r="F11" i="4"/>
  <c r="J15" i="4"/>
  <c r="J18" i="4"/>
  <c r="M19" i="4"/>
  <c r="E19" i="4"/>
  <c r="L19" i="4"/>
  <c r="O19" i="4"/>
  <c r="G19" i="4"/>
  <c r="P19" i="4"/>
  <c r="B22" i="4" a="1"/>
  <c r="B22" i="4" s="1"/>
  <c r="H23" i="4"/>
  <c r="E26" i="4"/>
  <c r="K27" i="4"/>
  <c r="H30" i="4"/>
  <c r="B31" i="4" a="1"/>
  <c r="B31" i="4" s="1"/>
  <c r="J34" i="4"/>
  <c r="M35" i="4"/>
  <c r="E35" i="4"/>
  <c r="L35" i="4"/>
  <c r="O35" i="4"/>
  <c r="G35" i="4"/>
  <c r="P35" i="4"/>
  <c r="K38" i="4"/>
  <c r="K10" i="4"/>
  <c r="M7" i="4"/>
  <c r="E7" i="4"/>
  <c r="L7" i="4"/>
  <c r="O7" i="4"/>
  <c r="G7" i="4"/>
  <c r="P7" i="4"/>
  <c r="B10" i="4" a="1"/>
  <c r="B10" i="4" s="1"/>
  <c r="M10" i="4"/>
  <c r="H11" i="4"/>
  <c r="E14" i="4"/>
  <c r="K15" i="4"/>
  <c r="K18" i="4"/>
  <c r="O22" i="4"/>
  <c r="G22" i="4"/>
  <c r="N22" i="4"/>
  <c r="F22" i="4"/>
  <c r="I22" i="4"/>
  <c r="P22" i="4"/>
  <c r="H26" i="4"/>
  <c r="B27" i="4" a="1"/>
  <c r="B27" i="4" s="1"/>
  <c r="N27" i="4"/>
  <c r="M31" i="4"/>
  <c r="E31" i="4"/>
  <c r="L31" i="4"/>
  <c r="O31" i="4"/>
  <c r="G31" i="4"/>
  <c r="P31" i="4"/>
  <c r="K34" i="4"/>
  <c r="L38" i="4"/>
  <c r="F39" i="4"/>
  <c r="B43" i="4" a="1"/>
  <c r="B43" i="4" s="1"/>
  <c r="H42" i="4"/>
  <c r="P42" i="4"/>
  <c r="H46" i="4"/>
  <c r="P46" i="4"/>
  <c r="G47" i="4"/>
  <c r="P47" i="4"/>
  <c r="F48" i="4"/>
  <c r="O48" i="4"/>
  <c r="F49" i="4"/>
  <c r="O49" i="4"/>
  <c r="P58" i="4"/>
  <c r="H58" i="4"/>
  <c r="L58" i="4"/>
  <c r="N59" i="4"/>
  <c r="F59" i="4"/>
  <c r="L59" i="4"/>
  <c r="K60" i="4"/>
  <c r="J61" i="4"/>
  <c r="B61" i="4" a="1"/>
  <c r="B61" i="4" s="1"/>
  <c r="L61" i="4"/>
  <c r="J66" i="4"/>
  <c r="J67" i="4"/>
  <c r="I68" i="4"/>
  <c r="I69" i="4"/>
  <c r="P104" i="4"/>
  <c r="H104" i="4"/>
  <c r="N104" i="4"/>
  <c r="F104" i="4"/>
  <c r="M104" i="4"/>
  <c r="E104" i="4"/>
  <c r="L104" i="4"/>
  <c r="K104" i="4"/>
  <c r="J104" i="4"/>
  <c r="I104" i="4"/>
  <c r="L124" i="4"/>
  <c r="J124" i="4"/>
  <c r="I124" i="4"/>
  <c r="P124" i="4"/>
  <c r="H124" i="4"/>
  <c r="O124" i="4"/>
  <c r="O122" i="4" s="1"/>
  <c r="G124" i="4"/>
  <c r="G122" i="4" s="1"/>
  <c r="N124" i="4"/>
  <c r="F124" i="4"/>
  <c r="M124" i="4"/>
  <c r="E124" i="4"/>
  <c r="K5" i="4"/>
  <c r="K9" i="4"/>
  <c r="K13" i="4"/>
  <c r="K17" i="4"/>
  <c r="K21" i="4"/>
  <c r="K25" i="4"/>
  <c r="K29" i="4"/>
  <c r="K33" i="4"/>
  <c r="R33" i="4" s="1"/>
  <c r="K37" i="4"/>
  <c r="K41" i="4"/>
  <c r="I42" i="4"/>
  <c r="K45" i="4"/>
  <c r="I46" i="4"/>
  <c r="H47" i="4"/>
  <c r="G48" i="4"/>
  <c r="P48" i="4"/>
  <c r="G49" i="4"/>
  <c r="P49" i="4"/>
  <c r="F50" i="4"/>
  <c r="G51" i="4"/>
  <c r="F52" i="4"/>
  <c r="O52" i="4"/>
  <c r="F53" i="4"/>
  <c r="M58" i="4"/>
  <c r="M59" i="4"/>
  <c r="M60" i="4"/>
  <c r="M61" i="4"/>
  <c r="P62" i="4"/>
  <c r="H62" i="4"/>
  <c r="L62" i="4"/>
  <c r="N63" i="4"/>
  <c r="F63" i="4"/>
  <c r="L63" i="4"/>
  <c r="K64" i="4"/>
  <c r="J65" i="4"/>
  <c r="B65" i="4" a="1"/>
  <c r="B65" i="4" s="1"/>
  <c r="L65" i="4"/>
  <c r="B66" i="4" a="1"/>
  <c r="B66" i="4" s="1"/>
  <c r="B67" i="4" a="1"/>
  <c r="B67" i="4" s="1"/>
  <c r="B68" i="4" a="1"/>
  <c r="B68" i="4" s="1"/>
  <c r="J68" i="4"/>
  <c r="P66" i="4"/>
  <c r="H66" i="4"/>
  <c r="L66" i="4"/>
  <c r="N67" i="4"/>
  <c r="F67" i="4"/>
  <c r="L67" i="4"/>
  <c r="K68" i="4"/>
  <c r="J69" i="4"/>
  <c r="B69" i="4" a="1"/>
  <c r="B69" i="4" s="1"/>
  <c r="L69" i="4"/>
  <c r="K42" i="4"/>
  <c r="K46" i="4"/>
  <c r="J47" i="4"/>
  <c r="I48" i="4"/>
  <c r="I49" i="4"/>
  <c r="P135" i="4"/>
  <c r="H135" i="4"/>
  <c r="L134" i="4"/>
  <c r="P133" i="4"/>
  <c r="H133" i="4"/>
  <c r="L132" i="4"/>
  <c r="P131" i="4"/>
  <c r="H131" i="4"/>
  <c r="L130" i="4"/>
  <c r="P129" i="4"/>
  <c r="H129" i="4"/>
  <c r="L128" i="4"/>
  <c r="P127" i="4"/>
  <c r="H127" i="4"/>
  <c r="L126" i="4"/>
  <c r="P120" i="4"/>
  <c r="H120" i="4"/>
  <c r="L119" i="4"/>
  <c r="P118" i="4"/>
  <c r="H118" i="4"/>
  <c r="L117" i="4"/>
  <c r="P116" i="4"/>
  <c r="H116" i="4"/>
  <c r="L115" i="4"/>
  <c r="L109" i="4"/>
  <c r="P108" i="4"/>
  <c r="H108" i="4"/>
  <c r="L107" i="4"/>
  <c r="N135" i="4"/>
  <c r="F135" i="4"/>
  <c r="J134" i="4"/>
  <c r="N133" i="4"/>
  <c r="F133" i="4"/>
  <c r="J132" i="4"/>
  <c r="N131" i="4"/>
  <c r="F131" i="4"/>
  <c r="J130" i="4"/>
  <c r="N129" i="4"/>
  <c r="F129" i="4"/>
  <c r="J128" i="4"/>
  <c r="N127" i="4"/>
  <c r="F127" i="4"/>
  <c r="J126" i="4"/>
  <c r="N125" i="4"/>
  <c r="F125" i="4"/>
  <c r="N120" i="4"/>
  <c r="F120" i="4"/>
  <c r="J119" i="4"/>
  <c r="N118" i="4"/>
  <c r="F118" i="4"/>
  <c r="J117" i="4"/>
  <c r="N116" i="4"/>
  <c r="F116" i="4"/>
  <c r="J109" i="4"/>
  <c r="N108" i="4"/>
  <c r="F108" i="4"/>
  <c r="J107" i="4"/>
  <c r="N106" i="4"/>
  <c r="M135" i="4"/>
  <c r="E135" i="4"/>
  <c r="I134" i="4"/>
  <c r="M133" i="4"/>
  <c r="E133" i="4"/>
  <c r="I132" i="4"/>
  <c r="M131" i="4"/>
  <c r="E131" i="4"/>
  <c r="I130" i="4"/>
  <c r="M129" i="4"/>
  <c r="E129" i="4"/>
  <c r="I128" i="4"/>
  <c r="M127" i="4"/>
  <c r="I126" i="4"/>
  <c r="M120" i="4"/>
  <c r="E120" i="4"/>
  <c r="I119" i="4"/>
  <c r="M118" i="4"/>
  <c r="E118" i="4"/>
  <c r="I117" i="4"/>
  <c r="M116" i="4"/>
  <c r="E116" i="4"/>
  <c r="I115" i="4"/>
  <c r="M114" i="4"/>
  <c r="I109" i="4"/>
  <c r="M108" i="4"/>
  <c r="E108" i="4"/>
  <c r="L135" i="4"/>
  <c r="P134" i="4"/>
  <c r="H134" i="4"/>
  <c r="L133" i="4"/>
  <c r="P132" i="4"/>
  <c r="H132" i="4"/>
  <c r="L131" i="4"/>
  <c r="P130" i="4"/>
  <c r="H130" i="4"/>
  <c r="L129" i="4"/>
  <c r="P128" i="4"/>
  <c r="H128" i="4"/>
  <c r="L127" i="4"/>
  <c r="P126" i="4"/>
  <c r="H126" i="4"/>
  <c r="L120" i="4"/>
  <c r="P119" i="4"/>
  <c r="K135" i="4"/>
  <c r="O134" i="4"/>
  <c r="G134" i="4"/>
  <c r="K133" i="4"/>
  <c r="O132" i="4"/>
  <c r="O126" i="4"/>
  <c r="G126" i="4"/>
  <c r="J135" i="4"/>
  <c r="N134" i="4"/>
  <c r="J133" i="4"/>
  <c r="N132" i="4"/>
  <c r="N126" i="4"/>
  <c r="F126" i="4"/>
  <c r="I135" i="4"/>
  <c r="M134" i="4"/>
  <c r="E134" i="4"/>
  <c r="I133" i="4"/>
  <c r="M126" i="4"/>
  <c r="E126" i="4"/>
  <c r="G133" i="4"/>
  <c r="P123" i="4"/>
  <c r="H123" i="4"/>
  <c r="N123" i="4"/>
  <c r="F123" i="4"/>
  <c r="M123" i="4"/>
  <c r="E123" i="4"/>
  <c r="L123" i="4"/>
  <c r="K123" i="4"/>
  <c r="J123" i="4"/>
  <c r="I123" i="4"/>
  <c r="P125" i="4"/>
  <c r="H125" i="4"/>
  <c r="M125" i="4"/>
  <c r="E125" i="4"/>
  <c r="L125" i="4"/>
  <c r="K125" i="4"/>
  <c r="J125" i="4"/>
  <c r="I125" i="4"/>
  <c r="N47" i="4"/>
  <c r="F47" i="4"/>
  <c r="H9" i="4"/>
  <c r="P9" i="4"/>
  <c r="H17" i="4"/>
  <c r="P17" i="4"/>
  <c r="H25" i="4"/>
  <c r="P25" i="4"/>
  <c r="F46" i="4"/>
  <c r="N46" i="4"/>
  <c r="M47" i="4"/>
  <c r="M48" i="4"/>
  <c r="P50" i="4"/>
  <c r="H50" i="4"/>
  <c r="L50" i="4"/>
  <c r="N51" i="4"/>
  <c r="F51" i="4"/>
  <c r="L51" i="4"/>
  <c r="G103" i="4"/>
  <c r="K48" i="4"/>
  <c r="J49" i="4"/>
  <c r="B49" i="4" a="1"/>
  <c r="B49" i="4" s="1"/>
  <c r="L49" i="4"/>
  <c r="H5" i="4"/>
  <c r="P5" i="4"/>
  <c r="H13" i="4"/>
  <c r="P13" i="4"/>
  <c r="H21" i="4"/>
  <c r="P21" i="4"/>
  <c r="F42" i="4"/>
  <c r="N42" i="4"/>
  <c r="K52" i="4"/>
  <c r="J53" i="4"/>
  <c r="B53" i="4" a="1"/>
  <c r="B53" i="4" s="1"/>
  <c r="L53" i="4"/>
  <c r="J58" i="4"/>
  <c r="J59" i="4"/>
  <c r="I60" i="4"/>
  <c r="I61" i="4"/>
  <c r="G42" i="4"/>
  <c r="G46" i="4"/>
  <c r="E47" i="4"/>
  <c r="O47" i="4"/>
  <c r="E48" i="4"/>
  <c r="N48" i="4"/>
  <c r="E49" i="4"/>
  <c r="N49" i="4"/>
  <c r="M50" i="4"/>
  <c r="M51" i="4"/>
  <c r="M52" i="4"/>
  <c r="M53" i="4"/>
  <c r="P54" i="4"/>
  <c r="H54" i="4"/>
  <c r="L54" i="4"/>
  <c r="N55" i="4"/>
  <c r="F55" i="4"/>
  <c r="L55" i="4"/>
  <c r="K56" i="4"/>
  <c r="J57" i="4"/>
  <c r="B57" i="4" a="1"/>
  <c r="B57" i="4" s="1"/>
  <c r="L57" i="4"/>
  <c r="B58" i="4" a="1"/>
  <c r="B58" i="4" s="1"/>
  <c r="K58" i="4"/>
  <c r="B59" i="4" a="1"/>
  <c r="B59" i="4" s="1"/>
  <c r="K59" i="4"/>
  <c r="B60" i="4" a="1"/>
  <c r="B60" i="4" s="1"/>
  <c r="J60" i="4"/>
  <c r="K61" i="4"/>
  <c r="J62" i="4"/>
  <c r="J63" i="4"/>
  <c r="I64" i="4"/>
  <c r="I65" i="4"/>
  <c r="I66" i="4"/>
  <c r="I67" i="4"/>
  <c r="H68" i="4"/>
  <c r="H69" i="4"/>
  <c r="O103" i="4"/>
  <c r="E127" i="4"/>
  <c r="K127" i="4"/>
  <c r="J127" i="4"/>
  <c r="I127" i="4"/>
  <c r="R65" i="4" l="1"/>
  <c r="R42" i="4"/>
  <c r="R41" i="4"/>
  <c r="R37" i="4"/>
  <c r="R61" i="4"/>
  <c r="R21" i="4"/>
  <c r="R20" i="4"/>
  <c r="R68" i="4"/>
  <c r="R57" i="4"/>
  <c r="R9" i="4"/>
  <c r="R29" i="4"/>
  <c r="R56" i="4"/>
  <c r="R28" i="4"/>
  <c r="R13" i="4"/>
  <c r="R36" i="4"/>
  <c r="R44" i="4"/>
  <c r="R4" i="4"/>
  <c r="R19" i="4"/>
  <c r="F3" i="4"/>
  <c r="R43" i="4"/>
  <c r="R16" i="4"/>
  <c r="R64" i="4"/>
  <c r="R25" i="4"/>
  <c r="R67" i="4"/>
  <c r="L3" i="4"/>
  <c r="N3" i="4"/>
  <c r="R55" i="4"/>
  <c r="R60" i="4"/>
  <c r="R62" i="4"/>
  <c r="R14" i="4"/>
  <c r="R7" i="4"/>
  <c r="J3" i="4"/>
  <c r="G3" i="4"/>
  <c r="R46" i="4"/>
  <c r="R54" i="4"/>
  <c r="R17" i="4"/>
  <c r="R45" i="4"/>
  <c r="M3" i="4"/>
  <c r="O3" i="4"/>
  <c r="R40" i="4"/>
  <c r="R69" i="4"/>
  <c r="R66" i="4"/>
  <c r="R22" i="4"/>
  <c r="R24" i="4"/>
  <c r="R8" i="4"/>
  <c r="R5" i="4"/>
  <c r="R30" i="4"/>
  <c r="R6" i="4"/>
  <c r="R47" i="4"/>
  <c r="E103" i="4"/>
  <c r="H3" i="4"/>
  <c r="P3" i="4"/>
  <c r="R51" i="4"/>
  <c r="E122" i="4"/>
  <c r="R63" i="4"/>
  <c r="M103" i="4"/>
  <c r="R26" i="4"/>
  <c r="R38" i="4"/>
  <c r="I3" i="4"/>
  <c r="R59" i="4"/>
  <c r="M122" i="4"/>
  <c r="R53" i="4"/>
  <c r="F103" i="4"/>
  <c r="R31" i="4"/>
  <c r="K3" i="4"/>
  <c r="R35" i="4"/>
  <c r="R39" i="4"/>
  <c r="R10" i="4"/>
  <c r="F122" i="4"/>
  <c r="N103" i="4"/>
  <c r="R58" i="4"/>
  <c r="K122" i="4"/>
  <c r="L122" i="4"/>
  <c r="R49" i="4"/>
  <c r="N122" i="4"/>
  <c r="R52" i="4"/>
  <c r="I103" i="4"/>
  <c r="H103" i="4"/>
  <c r="R15" i="4"/>
  <c r="I122" i="4"/>
  <c r="H122" i="4"/>
  <c r="J103" i="4"/>
  <c r="P103" i="4"/>
  <c r="R48" i="4"/>
  <c r="J122" i="4"/>
  <c r="P122" i="4"/>
  <c r="R50" i="4"/>
  <c r="K103" i="4"/>
  <c r="R11" i="4"/>
  <c r="R27" i="4"/>
  <c r="L103" i="4"/>
  <c r="E3" i="4"/>
  <c r="R34" i="4"/>
  <c r="R18" i="4"/>
  <c r="R23" i="4"/>
  <c r="E1" i="4" l="1"/>
  <c r="F1" i="4" s="1"/>
  <c r="G1" i="4" s="1"/>
  <c r="H1" i="4" s="1"/>
  <c r="I1" i="4" s="1"/>
  <c r="J1" i="4" s="1"/>
  <c r="K1" i="4" l="1"/>
  <c r="L1" i="4" s="1"/>
  <c r="M1" i="4" s="1"/>
  <c r="N1" i="4" s="1"/>
  <c r="O1" i="4" s="1"/>
  <c r="P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tc={2e51fec3-d5b1-4ce9-a024-8af4a80154fb}</author>
  </authors>
  <commentList>
    <comment ref="E2" authorId="0" shapeId="0" xr:uid="{00000000-0006-0000-0300-000001000000}">
      <text>
        <r>
          <rPr>
            <sz val="10"/>
            <color rgb="FF000000"/>
            <rFont val="Arial"/>
            <scheme val="minor"/>
          </rPr>
          <t xml:space="preserve">=SOMASES
(Pagamentos!$E:$E
(VALOR PAGO);
Pagamentos!$F:$F;
(CHECK DE QUE TODA CONFERÊNCIA FOI FEITA)
VERDADEIRO;
(CRITÉRIO APONTA QUE TEM QUE ESTAR SELECIONADO)
Pagamentos!$C:$C;
(NOME DO CABRA)
C$4;
(REFERÊNCIA AO NOME DO CABRA NA PLANILHA "Mensal")
Pagamentos!$D:$D;
(MÊS)
E$2
(REFERÊNCIA À CELULA COM TEXTO "Janeiro"
</t>
        </r>
      </text>
    </comment>
    <comment ref="Q3" authorId="0" shapeId="0" xr:uid="{00000000-0006-0000-0300-000002000000}">
      <text>
        <r>
          <rPr>
            <sz val="10"/>
            <color rgb="FF000000"/>
            <rFont val="Arial"/>
            <scheme val="minor"/>
          </rPr>
          <t xml:space="preserve">CASO O ASSOCIADO PAGUE ADIANTADO NO ANO ANTERIOR, O SALDO PERMANENTE NESTE ANO CORRESPONDE A PERIODO NÃO PAGO
RESULTADO = INSERIR O MÊS DO PRIMEIRO PAGAMENTO DO ANO.
INCLUSÃO: SE O ASSOCIADO ENTRAR ANTES DO DIA 15, PAGARA O MÊS EM QUESTÃO; CASO CONTRARIO O PRIMEIRO PAGAMENTO DO ANO SERÁ O MÊS POSTERIOR.
</t>
        </r>
      </text>
    </comment>
    <comment ref="D30" authorId="1" shapeId="0" xr:uid="{2E51FEC3-D5B1-4CE9-A024-8AF4A80154F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Tá devendo 10 meses de 2024! Acordo feito com a Yanka em Janeiro: Pagar R$30 reais por mês até quitar esses 10 meses e não deixando atrasar 2025.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tc={24036374-8c84-411c-bfda-34bd62645f30}</author>
  </authors>
  <commentList>
    <comment ref="E98" authorId="0" shapeId="0" xr:uid="{24036374-8C84-411C-BFDA-34BD62645F3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comprovante vai tá no valor R$15 pq o Eder pagou errado, em julho pagará a diferença.
</t>
        </r>
      </text>
    </comment>
  </commentList>
</comments>
</file>

<file path=xl/sharedStrings.xml><?xml version="1.0" encoding="utf-8"?>
<sst xmlns="http://schemas.openxmlformats.org/spreadsheetml/2006/main" count="621" uniqueCount="148">
  <si>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</si>
  <si>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</si>
  <si>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</si>
  <si>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</si>
  <si>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</si>
  <si>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</si>
  <si>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</si>
  <si>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</si>
  <si>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</si>
  <si>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</si>
  <si>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</si>
  <si>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</si>
  <si>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Saldo da conta em 01 de Janeiro:</t>
  </si>
  <si>
    <t>Carimbo de data/hora</t>
  </si>
  <si>
    <t>Nome de Guerra</t>
  </si>
  <si>
    <t>Valor</t>
  </si>
  <si>
    <t>Natayan</t>
  </si>
  <si>
    <t>Humberto</t>
  </si>
  <si>
    <t>Mensalidade</t>
  </si>
  <si>
    <t>Descritivo</t>
  </si>
  <si>
    <t>Despesa</t>
  </si>
  <si>
    <t>Receita</t>
  </si>
  <si>
    <t>Data</t>
  </si>
  <si>
    <t>Mês</t>
  </si>
  <si>
    <t>Taxa "Cesta de Relacionamento" Sicred</t>
  </si>
  <si>
    <t>Nery</t>
  </si>
  <si>
    <t>Inativo</t>
  </si>
  <si>
    <t>Tarifas Banco</t>
  </si>
  <si>
    <t>Total mensal:</t>
  </si>
  <si>
    <t>Camila</t>
  </si>
  <si>
    <t>PRIMEIRO PAGAMENTO DO ANO</t>
  </si>
  <si>
    <t>ATRASO</t>
  </si>
  <si>
    <t>GRÁFICO</t>
  </si>
  <si>
    <t>Sandro Martins (Copo B4 / FECABOM)</t>
  </si>
  <si>
    <t>Outros</t>
  </si>
  <si>
    <t>Tarifas Caixa Economica Federal</t>
  </si>
  <si>
    <t>Fabiana</t>
  </si>
  <si>
    <t>Rendimentos Caixa Economica Federal</t>
  </si>
  <si>
    <t>Rendimentos</t>
  </si>
  <si>
    <t>Certificado Digital</t>
  </si>
  <si>
    <t>Mayara</t>
  </si>
  <si>
    <t>Brinde Reunião Comando (Camila C Soares)</t>
  </si>
  <si>
    <t>Presentes</t>
  </si>
  <si>
    <t>Mithel</t>
  </si>
  <si>
    <t>Projetos (Privado, Municipal ou Estadual)</t>
  </si>
  <si>
    <t>Lancheira aniversários Compra 1</t>
  </si>
  <si>
    <t>Lancheira aniversários Compra 2</t>
  </si>
  <si>
    <t>Receitas em Eventos</t>
  </si>
  <si>
    <t>Nakata</t>
  </si>
  <si>
    <t>Estampa das lancheiras (Adriano Lima)</t>
  </si>
  <si>
    <t>Restituições</t>
  </si>
  <si>
    <t>Bento</t>
  </si>
  <si>
    <t>Coffee Break Treinamento APH (João Valdeci Moraes)</t>
  </si>
  <si>
    <t>Ozol</t>
  </si>
  <si>
    <t>Treinamentos</t>
  </si>
  <si>
    <t>Coffee Break Treinamento APH (Camila Soares)</t>
  </si>
  <si>
    <t>Sardá</t>
  </si>
  <si>
    <t>Binhoti</t>
  </si>
  <si>
    <t>Cartório (Gabriel F.Farias)</t>
  </si>
  <si>
    <t>Cartório ou Documentação em geral</t>
  </si>
  <si>
    <t>Antunes</t>
  </si>
  <si>
    <t>Angélica</t>
  </si>
  <si>
    <t>Rendimentos SICREDI</t>
  </si>
  <si>
    <t>Jogo Copa do Mundo - Acompanhante (Linder)</t>
  </si>
  <si>
    <t>Taxa de funcionamento PMSJ</t>
  </si>
  <si>
    <t>Certificado Digital (Safe2pay)</t>
  </si>
  <si>
    <t>jogo Copa do Mundo - Acompanhante (Antunes)</t>
  </si>
  <si>
    <t>Jogo Copa do Mundo - Acompanhante (Humberto)</t>
  </si>
  <si>
    <t>Decoração e descartaveis - Jogo Copa do Mundo (Yanka)</t>
  </si>
  <si>
    <t>Mercado</t>
  </si>
  <si>
    <t>Mercado - Jogo Copa do Mundo (MundialMIX)</t>
  </si>
  <si>
    <t>Mercado - Jogo Copa do Mundo (Yanka)</t>
  </si>
  <si>
    <t>Eder</t>
  </si>
  <si>
    <t>Pães - Jogo Copa do Mundo (Industria de Paes)</t>
  </si>
  <si>
    <t>Jogo Copa do Mundo - Acompanhante (Kassandra)</t>
  </si>
  <si>
    <t>Confraternizações Associados</t>
  </si>
  <si>
    <t>Equipamentos de Proteção Individuais (EPIs) ou Materiais Operacionais</t>
  </si>
  <si>
    <t>Coffee Break - Palestra (Kiko)</t>
  </si>
  <si>
    <t>Eventos Sociais</t>
  </si>
  <si>
    <t>Taxa "Cesta de Relacionamento" Sicredi</t>
  </si>
  <si>
    <t>Refri - Palestra (Yanka)</t>
  </si>
  <si>
    <t>Material de Escritórios</t>
  </si>
  <si>
    <t>Chocolate Palestrante Sgt Reinaldo - Palestra (Camila)</t>
  </si>
  <si>
    <t>Oliveira</t>
  </si>
  <si>
    <t xml:space="preserve">Restituições de Projetos (Privado, Municipal ou Estadual)	</t>
  </si>
  <si>
    <t>Controle de Pagamento de Mensalidade</t>
  </si>
  <si>
    <t>Confirmo que todos os processos de conferência do pagamento foram efetuados</t>
  </si>
  <si>
    <t>Lourenço</t>
  </si>
  <si>
    <t>Luiz</t>
  </si>
  <si>
    <t>Yuri</t>
  </si>
  <si>
    <t>janeiro</t>
  </si>
  <si>
    <t>Siqueira</t>
  </si>
  <si>
    <t>Yanka</t>
  </si>
  <si>
    <t>Martins</t>
  </si>
  <si>
    <t>Augusto</t>
  </si>
  <si>
    <t xml:space="preserve">Neumann </t>
  </si>
  <si>
    <t>Jesus</t>
  </si>
  <si>
    <t>Kassandra</t>
  </si>
  <si>
    <t>Gabriel</t>
  </si>
  <si>
    <t>Coelho</t>
  </si>
  <si>
    <t xml:space="preserve">Ana Carolina </t>
  </si>
  <si>
    <t>Andréia M</t>
  </si>
  <si>
    <t>Fortkamp</t>
  </si>
  <si>
    <t>Alves</t>
  </si>
  <si>
    <t>Pereira</t>
  </si>
  <si>
    <t>Spotti</t>
  </si>
  <si>
    <t>Elaine</t>
  </si>
  <si>
    <t>Linder</t>
  </si>
  <si>
    <t>Figueiredo</t>
  </si>
  <si>
    <t>Barros</t>
  </si>
  <si>
    <t>Cardoso</t>
  </si>
  <si>
    <t>Joaber</t>
  </si>
  <si>
    <t xml:space="preserve">Carvalho </t>
  </si>
  <si>
    <t>Bunn</t>
  </si>
  <si>
    <t>Luciano</t>
  </si>
  <si>
    <t>Sofie</t>
  </si>
  <si>
    <t xml:space="preserve">Costa </t>
  </si>
  <si>
    <t>Levi</t>
  </si>
  <si>
    <t xml:space="preserve">Weverton </t>
  </si>
  <si>
    <t xml:space="preserve">Anderson </t>
  </si>
  <si>
    <t>Lucas</t>
  </si>
  <si>
    <t>Santana</t>
  </si>
  <si>
    <t>Ulysséia</t>
  </si>
  <si>
    <t>Mina</t>
  </si>
  <si>
    <t>Ilton</t>
  </si>
  <si>
    <t>Schmitt</t>
  </si>
  <si>
    <t>Henkes</t>
  </si>
  <si>
    <t>Boiko</t>
  </si>
  <si>
    <t>Andreia</t>
  </si>
  <si>
    <t>Fabian</t>
  </si>
  <si>
    <t xml:space="preserve">Perdoná </t>
  </si>
  <si>
    <t xml:space="preserve">Gonçalves </t>
  </si>
  <si>
    <t xml:space="preserve">Viapiana </t>
  </si>
  <si>
    <t>Deny</t>
  </si>
  <si>
    <t xml:space="preserve">Steimbach </t>
  </si>
  <si>
    <t>Entradas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</si>
  <si>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</si>
  <si>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</si>
  <si>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</si>
  <si>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</si>
  <si>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</si>
  <si>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</si>
  <si>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</si>
  <si>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</si>
  <si>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</si>
  <si>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</si>
  <si>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</si>
  <si>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Doações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</si>
</sst>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[$R$ -416]* #,##0.00_);_([$R$ -416]* \(#,##0.00\);_([$R$ -416]* &quot;-&quot;??_);_(@_)"/>
    <numFmt numFmtId="165" formatCode="m/d/yyyy\ h:mm:ss"/>
    <numFmt numFmtId="166" formatCode="[$R$ -416]#,##0.00"/>
    <numFmt numFmtId="167" formatCode="d/m/yyyy"/>
    <numFmt numFmtId="168" formatCode="dd/mm/yyyy\ hh:mm:ss"/>
    <numFmt numFmtId="170" formatCode="dd/mm/yy"/>
    <numFmt numFmtId="172" formatCode="&quot;$&quot;#,##0"/>
  </numFmts>
  <fonts count="3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8"/>
      <color rgb="FFF46524"/>
      <name val="Raleway"/>
    </font>
    <font>
      <b/>
      <sz val="11"/>
      <color rgb="FF334960"/>
      <name val="Lato"/>
    </font>
    <font>
      <b/>
      <i/>
      <sz val="9"/>
      <color rgb="FFFFFFFF"/>
      <name val="Lato"/>
    </font>
    <font>
      <b/>
      <i/>
      <sz val="11"/>
      <color rgb="FF556376"/>
      <name val="Lato"/>
    </font>
    <font>
      <b/>
      <i/>
      <sz val="10"/>
      <color rgb="FFFFFFFF"/>
      <name val="Lato"/>
    </font>
    <font>
      <b/>
      <sz val="10"/>
      <color rgb="FFFFFFFF"/>
      <name val="Lato"/>
    </font>
    <font>
      <sz val="9"/>
      <color theme="1"/>
      <name val="&quot;Google Sans Mono&quot;"/>
    </font>
    <font>
      <sz val="9"/>
      <color theme="1"/>
      <name val="Arial"/>
    </font>
    <font>
      <sz val="10"/>
      <color rgb="FF000000"/>
      <name val="Arial"/>
    </font>
    <font>
      <i/>
      <sz val="9"/>
      <color rgb="FF6C7687"/>
      <name val="Lato"/>
    </font>
    <font>
      <b/>
      <i/>
      <sz val="10"/>
      <color rgb="FF000000"/>
      <name val="Lato"/>
    </font>
    <font>
      <i/>
      <sz val="9"/>
      <color rgb="FF000000"/>
      <name val="Lato"/>
    </font>
    <font>
      <sz val="10"/>
      <color rgb="FFFF0000"/>
      <name val="Arial"/>
    </font>
    <font>
      <sz val="10"/>
      <color rgb="FF000000"/>
      <name val="Arial"/>
      <scheme val="minor"/>
    </font>
    <font>
      <i/>
      <sz val="9"/>
      <color rgb="FFFF0000"/>
      <name val="Lato"/>
    </font>
    <font>
      <sz val="10"/>
      <color rgb="FFFF0000"/>
      <name val="Arial"/>
      <scheme val="minor"/>
    </font>
    <font>
      <b/>
      <sz val="18"/>
      <color theme="1"/>
      <name val="Raleway"/>
    </font>
    <font>
      <sz val="11"/>
      <color theme="1"/>
      <name val="Arial"/>
      <scheme val="minor"/>
    </font>
    <font>
      <sz val="11"/>
      <color theme="0"/>
      <name val="Arial"/>
      <scheme val="minor"/>
    </font>
    <font>
      <sz val="11"/>
      <color rgb="FFFFFFFF"/>
      <name val="Arial"/>
      <scheme val="minor"/>
    </font>
    <font>
      <sz val="10"/>
      <color rgb="FF1F1F1F"/>
      <name val="Arial"/>
    </font>
    <font>
      <sz val="11"/>
      <color rgb="FF334960"/>
      <name val="Lato"/>
    </font>
    <font>
      <b/>
      <i/>
      <sz val="9"/>
      <color rgb="FF576475"/>
      <name val="Lato"/>
    </font>
    <font>
      <sz val="10"/>
      <color rgb="FFFFFFFF"/>
      <name val="Lato"/>
    </font>
    <font>
      <sz val="10"/>
      <color rgb="FF334960"/>
      <name val="Lato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334960"/>
        <bgColor rgb="FF334960"/>
      </patternFill>
    </fill>
    <fill>
      <patternFill patternType="solid">
        <fgColor rgb="FFCCA677"/>
        <bgColor rgb="FFCCA67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6C7687"/>
        <bgColor rgb="FF6C7687"/>
      </patternFill>
    </fill>
    <fill>
      <patternFill patternType="solid">
        <fgColor rgb="FFF8F2EB"/>
        <bgColor rgb="FFF8F2EB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</fills>
  <borders count="13">
    <border>
      <left/>
      <right/>
      <top/>
      <bottom/>
      <diagonal/>
    </border>
    <border>
      <left style="thin">
        <color rgb="FF334960"/>
      </left>
      <right/>
      <top style="thin">
        <color rgb="FF334960"/>
      </top>
      <bottom style="thin">
        <color rgb="FF334960"/>
      </bottom>
      <diagonal/>
    </border>
    <border>
      <left/>
      <right/>
      <top style="thin">
        <color rgb="FF334960"/>
      </top>
      <bottom style="thin">
        <color rgb="FF334960"/>
      </bottom>
      <diagonal/>
    </border>
    <border>
      <left/>
      <right style="thin">
        <color rgb="FF334960"/>
      </right>
      <top style="thin">
        <color rgb="FF334960"/>
      </top>
      <bottom style="thin">
        <color rgb="FF334960"/>
      </bottom>
      <diagonal/>
    </border>
    <border>
      <left style="thin">
        <color rgb="FFFFFFFF"/>
      </left>
      <right style="thin">
        <color rgb="FFFFFFFF"/>
      </right>
      <top/>
      <bottom style="thin">
        <color rgb="FF6C7687"/>
      </bottom>
      <diagonal/>
    </border>
    <border>
      <left/>
      <right style="thin">
        <color rgb="FFFFFFFF"/>
      </right>
      <top/>
      <bottom style="thin">
        <color rgb="FF6C76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hair">
        <color rgb="FFFFFFFF"/>
      </left>
      <right style="hair">
        <color rgb="FFFFFFFF"/>
      </right>
      <top/>
      <bottom style="hair">
        <color rgb="FFFFFFFF"/>
      </bottom>
      <diagonal/>
    </border>
    <border>
      <left/>
      <right style="thin">
        <color rgb="FFFFFFFF"/>
      </right>
      <top/>
      <bottom style="hair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43">
    <xf numFmtId="0" fontId="0" fillId="0" borderId="0" xfId="0" applyFont="1" applyAlignment="1"/>
    <xf numFmtId="0" fontId="1" fillId="0" borderId="0" xfId="0" applyFont="1" applyAlignment="1"/>
    <xf numFmtId="164" fontId="4" fillId="3" borderId="3" xfId="0" applyNumberFormat="1" applyFont="1" applyFill="1" applyBorder="1" applyAlignment="1">
      <alignment horizontal="center"/>
    </xf>
    <xf numFmtId="166" fontId="4" fillId="5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164" fontId="1" fillId="6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/>
    </xf>
    <xf numFmtId="166" fontId="10" fillId="9" borderId="0" xfId="0" applyNumberFormat="1" applyFont="1" applyFill="1" applyAlignment="1">
      <alignment horizontal="center"/>
    </xf>
    <xf numFmtId="14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6" fontId="10" fillId="9" borderId="0" xfId="0" applyNumberFormat="1" applyFont="1" applyFill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164" fontId="1" fillId="10" borderId="6" xfId="0" applyNumberFormat="1" applyFont="1" applyFill="1" applyBorder="1" applyAlignment="1">
      <alignment horizontal="center"/>
    </xf>
    <xf numFmtId="14" fontId="1" fillId="10" borderId="6" xfId="0" applyNumberFormat="1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166" fontId="13" fillId="4" borderId="0" xfId="0" applyNumberFormat="1" applyFont="1" applyFill="1" applyAlignment="1">
      <alignment horizontal="center"/>
    </xf>
    <xf numFmtId="3" fontId="14" fillId="4" borderId="0" xfId="0" applyNumberFormat="1" applyFont="1" applyFill="1" applyAlignment="1">
      <alignment horizontal="center"/>
    </xf>
    <xf numFmtId="3" fontId="15" fillId="4" borderId="0" xfId="0" applyNumberFormat="1" applyFont="1" applyFill="1" applyAlignment="1">
      <alignment horizontal="center"/>
    </xf>
    <xf numFmtId="166" fontId="16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166" fontId="13" fillId="11" borderId="0" xfId="0" applyNumberFormat="1" applyFont="1" applyFill="1" applyAlignment="1">
      <alignment horizontal="center"/>
    </xf>
    <xf numFmtId="3" fontId="14" fillId="11" borderId="0" xfId="0" applyNumberFormat="1" applyFont="1" applyFill="1" applyAlignment="1">
      <alignment horizontal="center"/>
    </xf>
    <xf numFmtId="3" fontId="15" fillId="11" borderId="0" xfId="0" applyNumberFormat="1" applyFont="1" applyFill="1" applyAlignment="1">
      <alignment horizontal="center"/>
    </xf>
    <xf numFmtId="166" fontId="14" fillId="11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166" fontId="14" fillId="4" borderId="0" xfId="0" applyNumberFormat="1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7" fillId="11" borderId="9" xfId="0" applyFont="1" applyFill="1" applyBorder="1" applyAlignment="1">
      <alignment horizontal="center"/>
    </xf>
    <xf numFmtId="166" fontId="19" fillId="11" borderId="0" xfId="0" applyNumberFormat="1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167" fontId="1" fillId="10" borderId="6" xfId="0" applyNumberFormat="1" applyFont="1" applyFill="1" applyBorder="1" applyAlignment="1">
      <alignment horizontal="center"/>
    </xf>
    <xf numFmtId="0" fontId="21" fillId="4" borderId="6" xfId="0" applyFont="1" applyFill="1" applyBorder="1" applyAlignment="1"/>
    <xf numFmtId="0" fontId="5" fillId="12" borderId="6" xfId="0" applyFont="1" applyFill="1" applyBorder="1" applyAlignment="1"/>
    <xf numFmtId="168" fontId="5" fillId="12" borderId="6" xfId="0" applyNumberFormat="1" applyFont="1" applyFill="1" applyBorder="1" applyAlignment="1"/>
    <xf numFmtId="166" fontId="5" fillId="12" borderId="6" xfId="0" applyNumberFormat="1" applyFont="1" applyFill="1" applyBorder="1" applyAlignment="1"/>
    <xf numFmtId="0" fontId="5" fillId="12" borderId="6" xfId="0" applyFont="1" applyFill="1" applyBorder="1" applyAlignment="1"/>
    <xf numFmtId="0" fontId="22" fillId="4" borderId="6" xfId="0" applyFont="1" applyFill="1" applyBorder="1" applyAlignment="1">
      <alignment horizontal="center" vertical="center" wrapText="1"/>
    </xf>
    <xf numFmtId="168" fontId="23" fillId="13" borderId="6" xfId="0" applyNumberFormat="1" applyFont="1" applyFill="1" applyBorder="1" applyAlignment="1">
      <alignment horizontal="center" vertical="center" wrapText="1"/>
    </xf>
    <xf numFmtId="0" fontId="23" fillId="13" borderId="6" xfId="0" applyFont="1" applyFill="1" applyBorder="1" applyAlignment="1">
      <alignment horizontal="center" vertical="center" wrapText="1"/>
    </xf>
    <xf numFmtId="166" fontId="23" fillId="13" borderId="6" xfId="0" applyNumberFormat="1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1" fillId="4" borderId="6" xfId="0" applyFont="1" applyFill="1" applyBorder="1"/>
    <xf numFmtId="14" fontId="1" fillId="11" borderId="6" xfId="0" applyNumberFormat="1" applyFont="1" applyFill="1" applyBorder="1" applyAlignment="1"/>
    <xf numFmtId="0" fontId="4" fillId="11" borderId="6" xfId="0" applyFont="1" applyFill="1" applyBorder="1" applyAlignment="1"/>
    <xf numFmtId="166" fontId="4" fillId="11" borderId="6" xfId="0" applyNumberFormat="1" applyFont="1" applyFill="1" applyBorder="1" applyAlignment="1">
      <alignment horizontal="right"/>
    </xf>
    <xf numFmtId="0" fontId="1" fillId="11" borderId="6" xfId="0" applyFont="1" applyFill="1" applyBorder="1" applyAlignment="1"/>
    <xf numFmtId="14" fontId="1" fillId="4" borderId="6" xfId="0" applyNumberFormat="1" applyFont="1" applyFill="1" applyBorder="1" applyAlignment="1"/>
    <xf numFmtId="0" fontId="4" fillId="4" borderId="6" xfId="0" applyFont="1" applyFill="1" applyBorder="1" applyAlignment="1"/>
    <xf numFmtId="166" fontId="4" fillId="4" borderId="6" xfId="0" applyNumberFormat="1" applyFont="1" applyFill="1" applyBorder="1" applyAlignment="1">
      <alignment horizontal="right"/>
    </xf>
    <xf numFmtId="0" fontId="1" fillId="4" borderId="6" xfId="0" applyFont="1" applyFill="1" applyBorder="1" applyAlignment="1"/>
    <xf numFmtId="166" fontId="13" fillId="7" borderId="0" xfId="0" applyNumberFormat="1" applyFont="1" applyFill="1" applyAlignment="1">
      <alignment horizontal="center"/>
    </xf>
    <xf numFmtId="0" fontId="17" fillId="4" borderId="9" xfId="0" applyFont="1" applyFill="1" applyBorder="1" applyAlignment="1">
      <alignment horizontal="center"/>
    </xf>
    <xf numFmtId="166" fontId="19" fillId="4" borderId="0" xfId="0" applyNumberFormat="1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166" fontId="13" fillId="4" borderId="6" xfId="0" applyNumberFormat="1" applyFont="1" applyFill="1" applyBorder="1" applyAlignment="1">
      <alignment horizontal="right"/>
    </xf>
    <xf numFmtId="0" fontId="13" fillId="4" borderId="9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167" fontId="1" fillId="4" borderId="6" xfId="0" applyNumberFormat="1" applyFont="1" applyFill="1" applyBorder="1" applyAlignment="1">
      <alignment horizontal="right"/>
    </xf>
    <xf numFmtId="167" fontId="1" fillId="11" borderId="6" xfId="0" applyNumberFormat="1" applyFont="1" applyFill="1" applyBorder="1" applyAlignment="1">
      <alignment horizontal="right"/>
    </xf>
    <xf numFmtId="14" fontId="1" fillId="11" borderId="6" xfId="0" applyNumberFormat="1" applyFont="1" applyFill="1" applyBorder="1" applyAlignment="1">
      <alignment horizontal="right"/>
    </xf>
    <xf numFmtId="14" fontId="1" fillId="4" borderId="6" xfId="0" applyNumberFormat="1" applyFont="1" applyFill="1" applyBorder="1" applyAlignment="1">
      <alignment horizontal="right"/>
    </xf>
    <xf numFmtId="0" fontId="25" fillId="4" borderId="6" xfId="0" applyFont="1" applyFill="1" applyBorder="1" applyAlignment="1"/>
    <xf numFmtId="167" fontId="1" fillId="4" borderId="6" xfId="0" applyNumberFormat="1" applyFont="1" applyFill="1" applyBorder="1" applyAlignment="1"/>
    <xf numFmtId="0" fontId="4" fillId="11" borderId="6" xfId="0" applyFont="1" applyFill="1" applyBorder="1" applyAlignment="1"/>
    <xf numFmtId="166" fontId="4" fillId="11" borderId="6" xfId="0" applyNumberFormat="1" applyFont="1" applyFill="1" applyBorder="1" applyAlignment="1">
      <alignment horizontal="right"/>
    </xf>
    <xf numFmtId="0" fontId="4" fillId="4" borderId="6" xfId="0" applyFont="1" applyFill="1" applyBorder="1" applyAlignment="1"/>
    <xf numFmtId="166" fontId="4" fillId="4" borderId="6" xfId="0" applyNumberFormat="1" applyFont="1" applyFill="1" applyBorder="1" applyAlignment="1">
      <alignment horizontal="right"/>
    </xf>
    <xf numFmtId="170" fontId="1" fillId="11" borderId="6" xfId="0" applyNumberFormat="1" applyFont="1" applyFill="1" applyBorder="1" applyAlignment="1"/>
    <xf numFmtId="170" fontId="1" fillId="4" borderId="6" xfId="0" applyNumberFormat="1" applyFont="1" applyFill="1" applyBorder="1" applyAlignment="1"/>
    <xf numFmtId="168" fontId="1" fillId="11" borderId="6" xfId="0" applyNumberFormat="1" applyFont="1" applyFill="1" applyBorder="1" applyAlignment="1"/>
    <xf numFmtId="166" fontId="4" fillId="11" borderId="6" xfId="0" applyNumberFormat="1" applyFont="1" applyFill="1" applyBorder="1" applyAlignment="1"/>
    <xf numFmtId="167" fontId="1" fillId="11" borderId="6" xfId="0" applyNumberFormat="1" applyFont="1" applyFill="1" applyBorder="1" applyAlignment="1"/>
    <xf numFmtId="0" fontId="17" fillId="4" borderId="9" xfId="0" applyFont="1" applyFill="1" applyBorder="1" applyAlignment="1">
      <alignment horizontal="center"/>
    </xf>
    <xf numFmtId="165" fontId="4" fillId="4" borderId="6" xfId="0" applyNumberFormat="1" applyFont="1" applyFill="1" applyBorder="1" applyAlignment="1">
      <alignment horizontal="right"/>
    </xf>
    <xf numFmtId="165" fontId="4" fillId="11" borderId="6" xfId="0" applyNumberFormat="1" applyFont="1" applyFill="1" applyBorder="1" applyAlignment="1">
      <alignment horizontal="right"/>
    </xf>
    <xf numFmtId="168" fontId="1" fillId="4" borderId="6" xfId="0" applyNumberFormat="1" applyFont="1" applyFill="1" applyBorder="1" applyAlignment="1"/>
    <xf numFmtId="0" fontId="4" fillId="11" borderId="0" xfId="0" applyFont="1" applyFill="1" applyAlignment="1">
      <alignment horizontal="center"/>
    </xf>
    <xf numFmtId="166" fontId="1" fillId="4" borderId="6" xfId="0" applyNumberFormat="1" applyFont="1" applyFill="1" applyBorder="1" applyAlignment="1"/>
    <xf numFmtId="166" fontId="1" fillId="11" borderId="6" xfId="0" applyNumberFormat="1" applyFont="1" applyFill="1" applyBorder="1" applyAlignment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26" fillId="0" borderId="5" xfId="0" applyNumberFormat="1" applyFont="1" applyBorder="1" applyAlignment="1">
      <alignment horizontal="center"/>
    </xf>
    <xf numFmtId="166" fontId="27" fillId="0" borderId="5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6" fontId="28" fillId="9" borderId="0" xfId="0" applyNumberFormat="1" applyFont="1" applyFill="1" applyAlignment="1">
      <alignment horizontal="center"/>
    </xf>
    <xf numFmtId="0" fontId="29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29" fillId="11" borderId="0" xfId="0" applyFont="1" applyFill="1" applyAlignment="1">
      <alignment horizontal="left"/>
    </xf>
    <xf numFmtId="166" fontId="4" fillId="11" borderId="0" xfId="0" applyNumberFormat="1" applyFont="1" applyFill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166" fontId="6" fillId="11" borderId="5" xfId="0" applyNumberFormat="1" applyFont="1" applyFill="1" applyBorder="1" applyAlignment="1">
      <alignment horizontal="center"/>
    </xf>
    <xf numFmtId="166" fontId="27" fillId="11" borderId="5" xfId="0" applyNumberFormat="1" applyFont="1" applyFill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72" fontId="4" fillId="0" borderId="12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6" fontId="1" fillId="4" borderId="0" xfId="0" applyNumberFormat="1" applyFont="1" applyFill="1" applyAlignment="1">
      <alignment horizontal="center"/>
    </xf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9" fillId="11" borderId="0" xfId="0" applyFont="1" applyFill="1" applyAlignment="1">
      <alignment horizontal="left"/>
    </xf>
    <xf numFmtId="0" fontId="29" fillId="4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b/>
        <i/>
        <strike/>
        <u/>
        <color rgb="FFB7B7B7"/>
      </font>
      <fill>
        <patternFill patternType="none"/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Respostas ao formulário 8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adastro de Sócios 2026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adastro de Sócios 2026-style 2" pivot="0" count="2" xr9:uid="{00000000-0011-0000-FFFF-FFFF02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>
  <x18tc:person displayName="Associação Bombeiros Comunitários São José" id="{08dfbd99-d617-4b02-8e02-57de83411154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0" dT="2025-02-19T10:47:45.00" personId="{08dfbd99-d617-4b02-8e02-57de83411154}" id="{2e51fec3-d5b1-4ce9-a024-8af4a80154fb}" done="0">
    <x18tc:text xml:space="preserve">Tá devendo 10 meses de 2024! Acordo feito com a Yanka em Janeiro: Pagar R$30 reais por mês até quitar esses 10 meses e não deixando atrasar 2025.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8" dT="2025-07-06T20:09:40.00" personId="{08dfbd99-d617-4b02-8e02-57de83411154}" id="{24036374-8c84-411c-bfda-34bd62645f30}" done="1">
    <x18tc:text xml:space="preserve">O comprovante vai tá no valor R$15 pq o Eder pagou errado, em julho pagará a diferença.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/>
  </sheetViews>
  <sheetFormatPr defaultColWidth="12.6640625" defaultRowHeight="15.75" customHeight="1"/>
  <sheetData>
    <row r="1" spans="1:2">
      <c r="A1" s="1" t="s">
        <v>0</v>
      </c>
      <c r="B1" s="1">
        <v>1</v>
      </c>
    </row>
    <row r="2" spans="1:2">
      <c r="A2" s="1" t="s">
        <v>1</v>
      </c>
      <c r="B2" s="1">
        <v>2</v>
      </c>
    </row>
    <row r="3" spans="1:2">
      <c r="A3" s="1" t="s">
        <v>2</v>
      </c>
      <c r="B3" s="1">
        <v>3</v>
      </c>
    </row>
    <row r="4" spans="1:2">
      <c r="A4" s="1" t="s">
        <v>3</v>
      </c>
      <c r="B4" s="1">
        <v>4</v>
      </c>
    </row>
    <row r="5" spans="1:2">
      <c r="A5" s="1" t="s">
        <v>4</v>
      </c>
      <c r="B5" s="1">
        <v>5</v>
      </c>
    </row>
    <row r="6" spans="1:2">
      <c r="A6" s="1" t="s">
        <v>5</v>
      </c>
      <c r="B6" s="1">
        <v>6</v>
      </c>
    </row>
    <row r="7" spans="1:2">
      <c r="A7" s="1" t="s">
        <v>6</v>
      </c>
      <c r="B7" s="1">
        <v>7</v>
      </c>
    </row>
    <row r="8" spans="1:2">
      <c r="A8" s="1" t="s">
        <v>7</v>
      </c>
      <c r="B8" s="1">
        <v>8</v>
      </c>
    </row>
    <row r="9" spans="1:2">
      <c r="A9" s="1" t="s">
        <v>8</v>
      </c>
      <c r="B9" s="1">
        <v>9</v>
      </c>
    </row>
    <row r="10" spans="1:2">
      <c r="A10" s="1" t="s">
        <v>9</v>
      </c>
      <c r="B10" s="1">
        <v>10</v>
      </c>
    </row>
    <row r="11" spans="1:2">
      <c r="A11" s="1" t="s">
        <v>10</v>
      </c>
      <c r="B11" s="1">
        <v>11</v>
      </c>
    </row>
    <row r="12" spans="1:2">
      <c r="A12" s="1" t="s">
        <v>11</v>
      </c>
      <c r="B12" s="1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T136"/>
  <sheetViews>
    <sheetView showGridLines="0"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12.6640625" defaultRowHeight="15.75" customHeight="1" outlineLevelRow="1" outlineLevelCol="1"/>
  <cols>
    <col min="1" max="1" width="2" customWidth="1"/>
    <col min="2" max="2" width="8.109375" customWidth="1"/>
    <col min="3" max="3" width="17" customWidth="1"/>
    <col min="4" max="4" width="26" customWidth="1" outlineLevel="1"/>
    <col min="5" max="15" width="13" customWidth="1" outlineLevel="1"/>
    <col min="16" max="16" width="14.21875" customWidth="1" outlineLevel="1"/>
    <col min="17" max="17" width="14.6640625" customWidth="1"/>
    <col min="18" max="18" width="16.44140625" customWidth="1"/>
    <col min="19" max="19" width="13" customWidth="1"/>
    <col min="20" max="20" width="8.109375" customWidth="1"/>
  </cols>
  <sheetData>
    <row r="1" spans="1:20" ht="13.2">
      <c r="A1" s="135" t="s">
        <v>12</v>
      </c>
      <c r="B1" s="136"/>
      <c r="C1" s="137"/>
      <c r="D1" s="2">
        <v>9523.69</v>
      </c>
      <c r="E1" s="3">
        <f t="shared" ref="E1:P1" ca="1" si="0">D1+E3+E103-E122</f>
        <v>9758.92</v>
      </c>
      <c r="F1" s="3">
        <f t="shared" ca="1" si="0"/>
        <v>8085.880000000001</v>
      </c>
      <c r="G1" s="3">
        <f t="shared" ca="1" si="0"/>
        <v>9530.6200000000026</v>
      </c>
      <c r="H1" s="3">
        <f t="shared" ca="1" si="0"/>
        <v>9591.2100000000028</v>
      </c>
      <c r="I1" s="3">
        <f t="shared" ca="1" si="0"/>
        <v>10488.800000000003</v>
      </c>
      <c r="J1" s="3">
        <f t="shared" ca="1" si="0"/>
        <v>10968.920000000004</v>
      </c>
      <c r="K1" s="3">
        <f t="shared" ca="1" si="0"/>
        <v>11112.460000000005</v>
      </c>
      <c r="L1" s="3">
        <f t="shared" ca="1" si="0"/>
        <v>11772.460000000005</v>
      </c>
      <c r="M1" s="3">
        <f t="shared" ca="1" si="0"/>
        <v>11772.460000000005</v>
      </c>
      <c r="N1" s="3">
        <f t="shared" ca="1" si="0"/>
        <v>11772.460000000005</v>
      </c>
      <c r="O1" s="3">
        <f t="shared" ca="1" si="0"/>
        <v>11772.460000000005</v>
      </c>
      <c r="P1" s="3">
        <f t="shared" ca="1" si="0"/>
        <v>11772.460000000005</v>
      </c>
      <c r="Q1" s="3"/>
      <c r="R1" s="3"/>
      <c r="S1" s="3"/>
      <c r="T1" s="4"/>
    </row>
    <row r="2" spans="1:20" ht="28.8">
      <c r="A2" s="5"/>
      <c r="B2" s="6"/>
      <c r="C2" s="7" t="s">
        <v>18</v>
      </c>
      <c r="D2" s="8"/>
      <c r="E2" s="10" t="s">
        <v>0</v>
      </c>
      <c r="F2" s="10" t="s">
        <v>1</v>
      </c>
      <c r="G2" s="10" t="s">
        <v>2</v>
      </c>
      <c r="H2" s="10" t="s">
        <v>3</v>
      </c>
      <c r="I2" s="10" t="s">
        <v>4</v>
      </c>
      <c r="J2" s="10" t="s">
        <v>5</v>
      </c>
      <c r="K2" s="10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3"/>
      <c r="R2" s="13"/>
      <c r="S2" s="14">
        <f ca="1">MONTH(TODAY())*20</f>
        <v>160</v>
      </c>
      <c r="T2" s="4"/>
    </row>
    <row r="3" spans="1:20" ht="16.8">
      <c r="A3" s="15"/>
      <c r="B3" s="15" t="s">
        <v>26</v>
      </c>
      <c r="C3" s="17" t="s">
        <v>28</v>
      </c>
      <c r="D3" s="17"/>
      <c r="E3" s="20">
        <f t="shared" ref="E3:P3" ca="1" si="1">SUM(E4:E100)</f>
        <v>320</v>
      </c>
      <c r="F3" s="20">
        <f t="shared" ca="1" si="1"/>
        <v>1300</v>
      </c>
      <c r="G3" s="20">
        <f t="shared" ca="1" si="1"/>
        <v>2280</v>
      </c>
      <c r="H3" s="20">
        <f t="shared" ca="1" si="1"/>
        <v>660</v>
      </c>
      <c r="I3" s="20">
        <f t="shared" ca="1" si="1"/>
        <v>920</v>
      </c>
      <c r="J3" s="20">
        <f t="shared" ca="1" si="1"/>
        <v>1440</v>
      </c>
      <c r="K3" s="20">
        <f t="shared" ca="1" si="1"/>
        <v>620</v>
      </c>
      <c r="L3" s="20">
        <f t="shared" ca="1" si="1"/>
        <v>660</v>
      </c>
      <c r="M3" s="20">
        <f t="shared" ca="1" si="1"/>
        <v>0</v>
      </c>
      <c r="N3" s="20">
        <f t="shared" ca="1" si="1"/>
        <v>0</v>
      </c>
      <c r="O3" s="20">
        <f t="shared" ca="1" si="1"/>
        <v>0</v>
      </c>
      <c r="P3" s="20">
        <f t="shared" ca="1" si="1"/>
        <v>0</v>
      </c>
      <c r="Q3" s="23" t="s">
        <v>30</v>
      </c>
      <c r="R3" s="23" t="s">
        <v>31</v>
      </c>
      <c r="S3" s="23" t="s">
        <v>32</v>
      </c>
      <c r="T3" s="4"/>
    </row>
    <row r="4" spans="1:20" ht="16.2" outlineLevel="1">
      <c r="A4" s="24"/>
      <c r="B4" s="29" t="str">
        <f t="array" aca="1" ref="B4" ca="1">IFERROR(INDEX(#REF!,MATCH(C4,#REF!,0)),"")</f>
        <v/>
      </c>
      <c r="C4" s="30" t="str">
        <f ca="1">IFERROR(__xludf.DUMMYFUNCTION("QUERY('Cadastro de Sócios 2026'!A2:V170,""SELECT C, D WHERE U = TRUE"",1)"),"Angélica")</f>
        <v>Angélica</v>
      </c>
      <c r="D4" s="31" t="str">
        <f ca="1">IFERROR(__xludf.DUMMYFUNCTION("""COMPUTED_VALUE"""),"Angélica Mateus")</f>
        <v>Angélica Mateus</v>
      </c>
      <c r="E4" s="32">
        <f ca="1">SUMIFS(Pagamentos!$E:$E,Pagamentos!$F:$F,TRUE,Pagamentos!$C:$C,$C4,Pagamentos!$D:$D,E$2)</f>
        <v>0</v>
      </c>
      <c r="F4" s="32">
        <f ca="1">SUMIFS(Pagamentos!$E:$E,Pagamentos!$F:$F,TRUE,Pagamentos!$C:$C,$C4,Pagamentos!$D:$D,F$2)</f>
        <v>40</v>
      </c>
      <c r="G4" s="32">
        <f ca="1">SUMIFS(Pagamentos!$E:$E,Pagamentos!$F:$F,TRUE,Pagamentos!$C:$C,$C4,Pagamentos!$D:$D,G$2)</f>
        <v>20</v>
      </c>
      <c r="H4" s="32">
        <f ca="1">SUMIFS(Pagamentos!$E:$E,Pagamentos!$F:$F,TRUE,Pagamentos!$C:$C,$C4,Pagamentos!$D:$D,H$2)</f>
        <v>0</v>
      </c>
      <c r="I4" s="32">
        <f ca="1">SUMIFS(Pagamentos!$E:$E,Pagamentos!$F:$F,TRUE,Pagamentos!$C:$C,$C4,Pagamentos!$D:$D,I$2)</f>
        <v>40</v>
      </c>
      <c r="J4" s="32">
        <f ca="1">SUMIFS(Pagamentos!$E:$E,Pagamentos!$F:$F,TRUE,Pagamentos!$C:$C,$C4,Pagamentos!$D:$D,J$2)</f>
        <v>20</v>
      </c>
      <c r="K4" s="32">
        <f ca="1">SUMIFS(Pagamentos!$E:$E,Pagamentos!$F:$F,TRUE,Pagamentos!$C:$C,$C4,Pagamentos!$D:$D,K$2)</f>
        <v>0</v>
      </c>
      <c r="L4" s="32">
        <f ca="1">SUMIFS(Pagamentos!$E:$E,Pagamentos!$F:$F,TRUE,Pagamentos!$C:$C,$C4,Pagamentos!$D:$D,L$2)</f>
        <v>0</v>
      </c>
      <c r="M4" s="32">
        <f ca="1">SUMIFS(Pagamentos!$E:$E,Pagamentos!$F:$F,TRUE,Pagamentos!$C:$C,$C4,Pagamentos!$D:$D,M$2)</f>
        <v>0</v>
      </c>
      <c r="N4" s="32">
        <f ca="1">SUMIFS(Pagamentos!$E:$E,Pagamentos!$F:$F,TRUE,Pagamentos!$C:$C,$C4,Pagamentos!$D:$D,N$2)</f>
        <v>0</v>
      </c>
      <c r="O4" s="32">
        <f ca="1">SUMIFS(Pagamentos!$E:$E,Pagamentos!$F:$F,TRUE,Pagamentos!$C:$C,$C4,Pagamentos!$D:$D,O$2)</f>
        <v>0</v>
      </c>
      <c r="P4" s="32">
        <f ca="1">SUMIFS(Pagamentos!$E:$E,Pagamentos!$F:$F,TRUE,Pagamentos!$C:$C,$C4,Pagamentos!$D:$D,P$2)</f>
        <v>0</v>
      </c>
      <c r="Q4" s="33">
        <v>0</v>
      </c>
      <c r="R4" s="34">
        <f t="shared" ref="R4:R100" ca="1" si="2">IF(Q4="","",((SUM(E4:P4)-$S$2)/20)+Q4)</f>
        <v>-2</v>
      </c>
      <c r="S4" s="35" t="str">
        <f ca="1">IFERROR(__xludf.DUMMYFUNCTION("SPARKLINE(SUM(E4:P4),{""charttype"",""bar"";""max"",$S$2})"),"")</f>
        <v/>
      </c>
      <c r="T4" s="36"/>
    </row>
    <row r="5" spans="1:20" ht="16.2" outlineLevel="1">
      <c r="A5" s="37"/>
      <c r="B5" s="38" t="str">
        <f t="array" aca="1" ref="B5" ca="1">IFERROR(INDEX(#REF!,MATCH(C5,#REF!,0)),"")</f>
        <v/>
      </c>
      <c r="C5" s="39" t="str">
        <f ca="1">IFERROR(__xludf.DUMMYFUNCTION("""COMPUTED_VALUE"""),"Antunes")</f>
        <v>Antunes</v>
      </c>
      <c r="D5" s="39" t="str">
        <f ca="1">IFERROR(__xludf.DUMMYFUNCTION("""COMPUTED_VALUE"""),"Douglas Antunes")</f>
        <v>Douglas Antunes</v>
      </c>
      <c r="E5" s="40">
        <f ca="1">SUMIFS(Pagamentos!$E:$E,Pagamentos!$F:$F,TRUE,Pagamentos!$C:$C,$C5,Pagamentos!$D:$D,E$2)</f>
        <v>20</v>
      </c>
      <c r="F5" s="40">
        <f ca="1">SUMIFS(Pagamentos!$E:$E,Pagamentos!$F:$F,TRUE,Pagamentos!$C:$C,$C5,Pagamentos!$D:$D,F$2)</f>
        <v>20</v>
      </c>
      <c r="G5" s="40">
        <f ca="1">SUMIFS(Pagamentos!$E:$E,Pagamentos!$F:$F,TRUE,Pagamentos!$C:$C,$C5,Pagamentos!$D:$D,G$2)</f>
        <v>20</v>
      </c>
      <c r="H5" s="40">
        <f ca="1">SUMIFS(Pagamentos!$E:$E,Pagamentos!$F:$F,TRUE,Pagamentos!$C:$C,$C5,Pagamentos!$D:$D,H$2)</f>
        <v>0</v>
      </c>
      <c r="I5" s="40">
        <f ca="1">SUMIFS(Pagamentos!$E:$E,Pagamentos!$F:$F,TRUE,Pagamentos!$C:$C,$C5,Pagamentos!$D:$D,I$2)</f>
        <v>40</v>
      </c>
      <c r="J5" s="40">
        <f ca="1">SUMIFS(Pagamentos!$E:$E,Pagamentos!$F:$F,TRUE,Pagamentos!$C:$C,$C5,Pagamentos!$D:$D,J$2)</f>
        <v>20</v>
      </c>
      <c r="K5" s="40">
        <f ca="1">SUMIFS(Pagamentos!$E:$E,Pagamentos!$F:$F,TRUE,Pagamentos!$C:$C,$C5,Pagamentos!$D:$D,K$2)</f>
        <v>20</v>
      </c>
      <c r="L5" s="40">
        <f ca="1">SUMIFS(Pagamentos!$E:$E,Pagamentos!$F:$F,TRUE,Pagamentos!$C:$C,$C5,Pagamentos!$D:$D,L$2)</f>
        <v>0</v>
      </c>
      <c r="M5" s="40">
        <f ca="1">SUMIFS(Pagamentos!$E:$E,Pagamentos!$F:$F,TRUE,Pagamentos!$C:$C,$C5,Pagamentos!$D:$D,M$2)</f>
        <v>0</v>
      </c>
      <c r="N5" s="40">
        <f ca="1">SUMIFS(Pagamentos!$E:$E,Pagamentos!$F:$F,TRUE,Pagamentos!$C:$C,$C5,Pagamentos!$D:$D,N$2)</f>
        <v>0</v>
      </c>
      <c r="O5" s="40">
        <f ca="1">SUMIFS(Pagamentos!$E:$E,Pagamentos!$F:$F,TRUE,Pagamentos!$C:$C,$C5,Pagamentos!$D:$D,O$2)</f>
        <v>0</v>
      </c>
      <c r="P5" s="40">
        <f ca="1">SUMIFS(Pagamentos!$E:$E,Pagamentos!$F:$F,TRUE,Pagamentos!$C:$C,$C5,Pagamentos!$D:$D,P$2)</f>
        <v>0</v>
      </c>
      <c r="Q5" s="41">
        <v>0</v>
      </c>
      <c r="R5" s="42">
        <f t="shared" ca="1" si="2"/>
        <v>-1</v>
      </c>
      <c r="S5" s="43" t="str">
        <f ca="1">IFERROR(__xludf.DUMMYFUNCTION("SPARKLINE(SUM(E5:P5),{""charttype"",""bar"";""max"",$S$2})"),"")</f>
        <v/>
      </c>
      <c r="T5" s="44"/>
    </row>
    <row r="6" spans="1:20" ht="16.2" outlineLevel="1">
      <c r="A6" s="24"/>
      <c r="B6" s="29" t="str">
        <f t="array" aca="1" ref="B6" ca="1">IFERROR(INDEX(#REF!,MATCH(C6,#REF!,0)),"")</f>
        <v/>
      </c>
      <c r="C6" s="31" t="str">
        <f ca="1">IFERROR(__xludf.DUMMYFUNCTION("""COMPUTED_VALUE"""),"Augusto")</f>
        <v>Augusto</v>
      </c>
      <c r="D6" s="45" t="str">
        <f ca="1">IFERROR(__xludf.DUMMYFUNCTION("""COMPUTED_VALUE"""),"Murilo Augusto Galdino De Souza")</f>
        <v>Murilo Augusto Galdino De Souza</v>
      </c>
      <c r="E6" s="32">
        <f ca="1">SUMIFS(Pagamentos!$E:$E,Pagamentos!$F:$F,TRUE,Pagamentos!$C:$C,$C6,Pagamentos!$D:$D,E$2)</f>
        <v>20</v>
      </c>
      <c r="F6" s="32">
        <f ca="1">SUMIFS(Pagamentos!$E:$E,Pagamentos!$F:$F,TRUE,Pagamentos!$C:$C,$C6,Pagamentos!$D:$D,F$2)</f>
        <v>20</v>
      </c>
      <c r="G6" s="32">
        <f ca="1">SUMIFS(Pagamentos!$E:$E,Pagamentos!$F:$F,TRUE,Pagamentos!$C:$C,$C6,Pagamentos!$D:$D,G$2)</f>
        <v>20</v>
      </c>
      <c r="H6" s="32">
        <f ca="1">SUMIFS(Pagamentos!$E:$E,Pagamentos!$F:$F,TRUE,Pagamentos!$C:$C,$C6,Pagamentos!$D:$D,H$2)</f>
        <v>20</v>
      </c>
      <c r="I6" s="32">
        <f ca="1">SUMIFS(Pagamentos!$E:$E,Pagamentos!$F:$F,TRUE,Pagamentos!$C:$C,$C6,Pagamentos!$D:$D,I$2)</f>
        <v>20</v>
      </c>
      <c r="J6" s="32">
        <f ca="1">SUMIFS(Pagamentos!$E:$E,Pagamentos!$F:$F,TRUE,Pagamentos!$C:$C,$C6,Pagamentos!$D:$D,J$2)</f>
        <v>20</v>
      </c>
      <c r="K6" s="32">
        <f ca="1">SUMIFS(Pagamentos!$E:$E,Pagamentos!$F:$F,TRUE,Pagamentos!$C:$C,$C6,Pagamentos!$D:$D,K$2)</f>
        <v>0</v>
      </c>
      <c r="L6" s="32">
        <f ca="1">SUMIFS(Pagamentos!$E:$E,Pagamentos!$F:$F,TRUE,Pagamentos!$C:$C,$C6,Pagamentos!$D:$D,L$2)</f>
        <v>20</v>
      </c>
      <c r="M6" s="32">
        <f ca="1">SUMIFS(Pagamentos!$E:$E,Pagamentos!$F:$F,TRUE,Pagamentos!$C:$C,$C6,Pagamentos!$D:$D,M$2)</f>
        <v>0</v>
      </c>
      <c r="N6" s="32">
        <f ca="1">SUMIFS(Pagamentos!$E:$E,Pagamentos!$F:$F,TRUE,Pagamentos!$C:$C,$C6,Pagamentos!$D:$D,N$2)</f>
        <v>0</v>
      </c>
      <c r="O6" s="32">
        <f ca="1">SUMIFS(Pagamentos!$E:$E,Pagamentos!$F:$F,TRUE,Pagamentos!$C:$C,$C6,Pagamentos!$D:$D,O$2)</f>
        <v>0</v>
      </c>
      <c r="P6" s="32">
        <f ca="1">SUMIFS(Pagamentos!$E:$E,Pagamentos!$F:$F,TRUE,Pagamentos!$C:$C,$C6,Pagamentos!$D:$D,P$2)</f>
        <v>0</v>
      </c>
      <c r="Q6" s="33">
        <v>0</v>
      </c>
      <c r="R6" s="34">
        <f t="shared" ca="1" si="2"/>
        <v>-1</v>
      </c>
      <c r="S6" s="46" t="str">
        <f ca="1">IFERROR(__xludf.DUMMYFUNCTION("SPARKLINE(SUM(E6:P6),{""charttype"",""bar"";""max"",$S$2})"),"")</f>
        <v/>
      </c>
      <c r="T6" s="36"/>
    </row>
    <row r="7" spans="1:20" ht="16.2" outlineLevel="1">
      <c r="A7" s="37"/>
      <c r="B7" s="38" t="str">
        <f t="array" aca="1" ref="B7" ca="1">IFERROR(INDEX(#REF!,MATCH(C7,#REF!,0)),"")</f>
        <v/>
      </c>
      <c r="C7" s="47" t="str">
        <f ca="1">IFERROR(__xludf.DUMMYFUNCTION("""COMPUTED_VALUE"""),"Andreia")</f>
        <v>Andreia</v>
      </c>
      <c r="D7" s="39" t="str">
        <f ca="1">IFERROR(__xludf.DUMMYFUNCTION("""COMPUTED_VALUE"""),"Andreia de Fátima Machado ")</f>
        <v xml:space="preserve">Andreia de Fátima Machado </v>
      </c>
      <c r="E7" s="40">
        <f ca="1">SUMIFS(Pagamentos!$E:$E,Pagamentos!$F:$F,TRUE,Pagamentos!$C:$C,$C7,Pagamentos!$D:$D,E$2)</f>
        <v>0</v>
      </c>
      <c r="F7" s="40">
        <f ca="1">SUMIFS(Pagamentos!$E:$E,Pagamentos!$F:$F,TRUE,Pagamentos!$C:$C,$C7,Pagamentos!$D:$D,F$2)</f>
        <v>0</v>
      </c>
      <c r="G7" s="40">
        <f ca="1">SUMIFS(Pagamentos!$E:$E,Pagamentos!$F:$F,TRUE,Pagamentos!$C:$C,$C7,Pagamentos!$D:$D,G$2)</f>
        <v>80</v>
      </c>
      <c r="H7" s="40">
        <f ca="1">SUMIFS(Pagamentos!$E:$E,Pagamentos!$F:$F,TRUE,Pagamentos!$C:$C,$C7,Pagamentos!$D:$D,H$2)</f>
        <v>0</v>
      </c>
      <c r="I7" s="40">
        <f ca="1">SUMIFS(Pagamentos!$E:$E,Pagamentos!$F:$F,TRUE,Pagamentos!$C:$C,$C7,Pagamentos!$D:$D,I$2)</f>
        <v>0</v>
      </c>
      <c r="J7" s="40">
        <f ca="1">SUMIFS(Pagamentos!$E:$E,Pagamentos!$F:$F,TRUE,Pagamentos!$C:$C,$C7,Pagamentos!$D:$D,J$2)</f>
        <v>0</v>
      </c>
      <c r="K7" s="40">
        <f ca="1">SUMIFS(Pagamentos!$E:$E,Pagamentos!$F:$F,TRUE,Pagamentos!$C:$C,$C7,Pagamentos!$D:$D,K$2)</f>
        <v>0</v>
      </c>
      <c r="L7" s="40">
        <f ca="1">SUMIFS(Pagamentos!$E:$E,Pagamentos!$F:$F,TRUE,Pagamentos!$C:$C,$C7,Pagamentos!$D:$D,L$2)</f>
        <v>80</v>
      </c>
      <c r="M7" s="40">
        <f ca="1">SUMIFS(Pagamentos!$E:$E,Pagamentos!$F:$F,TRUE,Pagamentos!$C:$C,$C7,Pagamentos!$D:$D,M$2)</f>
        <v>0</v>
      </c>
      <c r="N7" s="40">
        <f ca="1">SUMIFS(Pagamentos!$E:$E,Pagamentos!$F:$F,TRUE,Pagamentos!$C:$C,$C7,Pagamentos!$D:$D,N$2)</f>
        <v>0</v>
      </c>
      <c r="O7" s="40">
        <f ca="1">SUMIFS(Pagamentos!$E:$E,Pagamentos!$F:$F,TRUE,Pagamentos!$C:$C,$C7,Pagamentos!$D:$D,O$2)</f>
        <v>0</v>
      </c>
      <c r="P7" s="40">
        <f ca="1">SUMIFS(Pagamentos!$E:$E,Pagamentos!$F:$F,TRUE,Pagamentos!$C:$C,$C7,Pagamentos!$D:$D,P$2)</f>
        <v>0</v>
      </c>
      <c r="Q7" s="41">
        <v>0</v>
      </c>
      <c r="R7" s="42">
        <f t="shared" ca="1" si="2"/>
        <v>0</v>
      </c>
      <c r="S7" s="43" t="str">
        <f ca="1">IFERROR(__xludf.DUMMYFUNCTION("SPARKLINE(SUM(E7:P7),{""charttype"",""bar"";""max"",$S$2})"),"")</f>
        <v/>
      </c>
      <c r="T7" s="44"/>
    </row>
    <row r="8" spans="1:20" ht="16.2" outlineLevel="1">
      <c r="A8" s="24"/>
      <c r="B8" s="29" t="str">
        <f t="array" aca="1" ref="B8" ca="1">IFERROR(INDEX(#REF!,MATCH(C8,#REF!,0)),"")</f>
        <v/>
      </c>
      <c r="C8" s="31" t="str">
        <f ca="1">IFERROR(__xludf.DUMMYFUNCTION("""COMPUTED_VALUE"""),"Bento")</f>
        <v>Bento</v>
      </c>
      <c r="D8" s="31" t="str">
        <f ca="1">IFERROR(__xludf.DUMMYFUNCTION("""COMPUTED_VALUE"""),"Daniel Bento")</f>
        <v>Daniel Bento</v>
      </c>
      <c r="E8" s="32">
        <f ca="1">SUMIFS(Pagamentos!$E:$E,Pagamentos!$F:$F,TRUE,Pagamentos!$C:$C,$C8,Pagamentos!$D:$D,E$2)</f>
        <v>0</v>
      </c>
      <c r="F8" s="32">
        <f ca="1">SUMIFS(Pagamentos!$E:$E,Pagamentos!$F:$F,TRUE,Pagamentos!$C:$C,$C8,Pagamentos!$D:$D,F$2)</f>
        <v>0</v>
      </c>
      <c r="G8" s="32">
        <f ca="1">SUMIFS(Pagamentos!$E:$E,Pagamentos!$F:$F,TRUE,Pagamentos!$C:$C,$C8,Pagamentos!$D:$D,G$2)</f>
        <v>20</v>
      </c>
      <c r="H8" s="32">
        <f ca="1">SUMIFS(Pagamentos!$E:$E,Pagamentos!$F:$F,TRUE,Pagamentos!$C:$C,$C8,Pagamentos!$D:$D,H$2)</f>
        <v>0</v>
      </c>
      <c r="I8" s="32">
        <f ca="1">SUMIFS(Pagamentos!$E:$E,Pagamentos!$F:$F,TRUE,Pagamentos!$C:$C,$C8,Pagamentos!$D:$D,I$2)</f>
        <v>20</v>
      </c>
      <c r="J8" s="32">
        <f ca="1">SUMIFS(Pagamentos!$E:$E,Pagamentos!$F:$F,TRUE,Pagamentos!$C:$C,$C8,Pagamentos!$D:$D,J$2)</f>
        <v>20</v>
      </c>
      <c r="K8" s="32">
        <f ca="1">SUMIFS(Pagamentos!$E:$E,Pagamentos!$F:$F,TRUE,Pagamentos!$C:$C,$C8,Pagamentos!$D:$D,K$2)</f>
        <v>20</v>
      </c>
      <c r="L8" s="32">
        <f ca="1">SUMIFS(Pagamentos!$E:$E,Pagamentos!$F:$F,TRUE,Pagamentos!$C:$C,$C8,Pagamentos!$D:$D,L$2)</f>
        <v>0</v>
      </c>
      <c r="M8" s="32">
        <f ca="1">SUMIFS(Pagamentos!$E:$E,Pagamentos!$F:$F,TRUE,Pagamentos!$C:$C,$C8,Pagamentos!$D:$D,M$2)</f>
        <v>0</v>
      </c>
      <c r="N8" s="32">
        <f ca="1">SUMIFS(Pagamentos!$E:$E,Pagamentos!$F:$F,TRUE,Pagamentos!$C:$C,$C8,Pagamentos!$D:$D,N$2)</f>
        <v>0</v>
      </c>
      <c r="O8" s="32">
        <f ca="1">SUMIFS(Pagamentos!$E:$E,Pagamentos!$F:$F,TRUE,Pagamentos!$C:$C,$C8,Pagamentos!$D:$D,O$2)</f>
        <v>0</v>
      </c>
      <c r="P8" s="32">
        <f ca="1">SUMIFS(Pagamentos!$E:$E,Pagamentos!$F:$F,TRUE,Pagamentos!$C:$C,$C8,Pagamentos!$D:$D,P$2)</f>
        <v>0</v>
      </c>
      <c r="Q8" s="33">
        <v>2</v>
      </c>
      <c r="R8" s="34">
        <f t="shared" ca="1" si="2"/>
        <v>-2</v>
      </c>
      <c r="S8" s="46" t="str">
        <f ca="1">IFERROR(__xludf.DUMMYFUNCTION("SPARKLINE(SUM(E8:P8),{""charttype"",""bar"";""max"",$S$2})"),"")</f>
        <v/>
      </c>
      <c r="T8" s="36"/>
    </row>
    <row r="9" spans="1:20" ht="16.2" outlineLevel="1">
      <c r="A9" s="48"/>
      <c r="B9" s="38" t="str">
        <f t="array" aca="1" ref="B9" ca="1">IFERROR(INDEX(#REF!,MATCH(C9,#REF!,0)),"")</f>
        <v/>
      </c>
      <c r="C9" s="39" t="str">
        <f ca="1">IFERROR(__xludf.DUMMYFUNCTION("""COMPUTED_VALUE"""),"Binhoti")</f>
        <v>Binhoti</v>
      </c>
      <c r="D9" s="39" t="str">
        <f ca="1">IFERROR(__xludf.DUMMYFUNCTION("""COMPUTED_VALUE"""),"Tiago Binhoti")</f>
        <v>Tiago Binhoti</v>
      </c>
      <c r="E9" s="40">
        <f ca="1">SUMIFS(Pagamentos!$E:$E,Pagamentos!$F:$F,TRUE,Pagamentos!$C:$C,$C9,Pagamentos!$D:$D,E$2)</f>
        <v>0</v>
      </c>
      <c r="F9" s="40">
        <f ca="1">SUMIFS(Pagamentos!$E:$E,Pagamentos!$F:$F,TRUE,Pagamentos!$C:$C,$C9,Pagamentos!$D:$D,F$2)</f>
        <v>120</v>
      </c>
      <c r="G9" s="40">
        <f ca="1">SUMIFS(Pagamentos!$E:$E,Pagamentos!$F:$F,TRUE,Pagamentos!$C:$C,$C9,Pagamentos!$D:$D,G$2)</f>
        <v>0</v>
      </c>
      <c r="H9" s="40">
        <f ca="1">SUMIFS(Pagamentos!$E:$E,Pagamentos!$F:$F,TRUE,Pagamentos!$C:$C,$C9,Pagamentos!$D:$D,H$2)</f>
        <v>0</v>
      </c>
      <c r="I9" s="40">
        <f ca="1">SUMIFS(Pagamentos!$E:$E,Pagamentos!$F:$F,TRUE,Pagamentos!$C:$C,$C9,Pagamentos!$D:$D,I$2)</f>
        <v>0</v>
      </c>
      <c r="J9" s="40">
        <f ca="1">SUMIFS(Pagamentos!$E:$E,Pagamentos!$F:$F,TRUE,Pagamentos!$C:$C,$C9,Pagamentos!$D:$D,J$2)</f>
        <v>0</v>
      </c>
      <c r="K9" s="40">
        <f ca="1">SUMIFS(Pagamentos!$E:$E,Pagamentos!$F:$F,TRUE,Pagamentos!$C:$C,$C9,Pagamentos!$D:$D,K$2)</f>
        <v>0</v>
      </c>
      <c r="L9" s="40">
        <f ca="1">SUMIFS(Pagamentos!$E:$E,Pagamentos!$F:$F,TRUE,Pagamentos!$C:$C,$C9,Pagamentos!$D:$D,L$2)</f>
        <v>120</v>
      </c>
      <c r="M9" s="40">
        <f ca="1">SUMIFS(Pagamentos!$E:$E,Pagamentos!$F:$F,TRUE,Pagamentos!$C:$C,$C9,Pagamentos!$D:$D,M$2)</f>
        <v>0</v>
      </c>
      <c r="N9" s="40">
        <f ca="1">SUMIFS(Pagamentos!$E:$E,Pagamentos!$F:$F,TRUE,Pagamentos!$C:$C,$C9,Pagamentos!$D:$D,N$2)</f>
        <v>0</v>
      </c>
      <c r="O9" s="40">
        <f ca="1">SUMIFS(Pagamentos!$E:$E,Pagamentos!$F:$F,TRUE,Pagamentos!$C:$C,$C9,Pagamentos!$D:$D,O$2)</f>
        <v>0</v>
      </c>
      <c r="P9" s="40">
        <f ca="1">SUMIFS(Pagamentos!$E:$E,Pagamentos!$F:$F,TRUE,Pagamentos!$C:$C,$C9,Pagamentos!$D:$D,P$2)</f>
        <v>0</v>
      </c>
      <c r="Q9" s="41">
        <v>1</v>
      </c>
      <c r="R9" s="42">
        <f t="shared" ca="1" si="2"/>
        <v>5</v>
      </c>
      <c r="S9" s="49" t="str">
        <f ca="1">IFERROR(__xludf.DUMMYFUNCTION("SPARKLINE(SUM(E9:P9),{""charttype"",""bar"";""max"",$S$2})"),"")</f>
        <v/>
      </c>
      <c r="T9" s="50"/>
    </row>
    <row r="10" spans="1:20" ht="16.2" outlineLevel="1">
      <c r="A10" s="24"/>
      <c r="B10" s="29" t="str">
        <f t="array" aca="1" ref="B10" ca="1">IFERROR(INDEX(#REF!,MATCH(C10,#REF!,0)),"")</f>
        <v/>
      </c>
      <c r="C10" s="31" t="str">
        <f ca="1">IFERROR(__xludf.DUMMYFUNCTION("""COMPUTED_VALUE"""),"Boiko")</f>
        <v>Boiko</v>
      </c>
      <c r="D10" s="31" t="str">
        <f ca="1">IFERROR(__xludf.DUMMYFUNCTION("""COMPUTED_VALUE"""),"Emerson Roberto Boiko")</f>
        <v>Emerson Roberto Boiko</v>
      </c>
      <c r="E10" s="32">
        <f ca="1">SUMIFS(Pagamentos!$E:$E,Pagamentos!$F:$F,TRUE,Pagamentos!$C:$C,$C10,Pagamentos!$D:$D,E$2)</f>
        <v>0</v>
      </c>
      <c r="F10" s="32">
        <f ca="1">SUMIFS(Pagamentos!$E:$E,Pagamentos!$F:$F,TRUE,Pagamentos!$C:$C,$C10,Pagamentos!$D:$D,F$2)</f>
        <v>0</v>
      </c>
      <c r="G10" s="32">
        <f ca="1">SUMIFS(Pagamentos!$E:$E,Pagamentos!$F:$F,TRUE,Pagamentos!$C:$C,$C10,Pagamentos!$D:$D,G$2)</f>
        <v>100</v>
      </c>
      <c r="H10" s="32">
        <f ca="1">SUMIFS(Pagamentos!$E:$E,Pagamentos!$F:$F,TRUE,Pagamentos!$C:$C,$C10,Pagamentos!$D:$D,H$2)</f>
        <v>0</v>
      </c>
      <c r="I10" s="32">
        <f ca="1">SUMIFS(Pagamentos!$E:$E,Pagamentos!$F:$F,TRUE,Pagamentos!$C:$C,$C10,Pagamentos!$D:$D,I$2)</f>
        <v>0</v>
      </c>
      <c r="J10" s="32">
        <f ca="1">SUMIFS(Pagamentos!$E:$E,Pagamentos!$F:$F,TRUE,Pagamentos!$C:$C,$C10,Pagamentos!$D:$D,J$2)</f>
        <v>60</v>
      </c>
      <c r="K10" s="32">
        <f ca="1">SUMIFS(Pagamentos!$E:$E,Pagamentos!$F:$F,TRUE,Pagamentos!$C:$C,$C10,Pagamentos!$D:$D,K$2)</f>
        <v>0</v>
      </c>
      <c r="L10" s="32">
        <f ca="1">SUMIFS(Pagamentos!$E:$E,Pagamentos!$F:$F,TRUE,Pagamentos!$C:$C,$C10,Pagamentos!$D:$D,L$2)</f>
        <v>0</v>
      </c>
      <c r="M10" s="32">
        <f ca="1">SUMIFS(Pagamentos!$E:$E,Pagamentos!$F:$F,TRUE,Pagamentos!$C:$C,$C10,Pagamentos!$D:$D,M$2)</f>
        <v>0</v>
      </c>
      <c r="N10" s="32">
        <f ca="1">SUMIFS(Pagamentos!$E:$E,Pagamentos!$F:$F,TRUE,Pagamentos!$C:$C,$C10,Pagamentos!$D:$D,N$2)</f>
        <v>0</v>
      </c>
      <c r="O10" s="32">
        <f ca="1">SUMIFS(Pagamentos!$E:$E,Pagamentos!$F:$F,TRUE,Pagamentos!$C:$C,$C10,Pagamentos!$D:$D,O$2)</f>
        <v>0</v>
      </c>
      <c r="P10" s="32">
        <f ca="1">SUMIFS(Pagamentos!$E:$E,Pagamentos!$F:$F,TRUE,Pagamentos!$C:$C,$C10,Pagamentos!$D:$D,P$2)</f>
        <v>0</v>
      </c>
      <c r="Q10" s="33">
        <v>-2</v>
      </c>
      <c r="R10" s="34">
        <f t="shared" ca="1" si="2"/>
        <v>-2</v>
      </c>
      <c r="S10" s="46" t="str">
        <f ca="1">IFERROR(__xludf.DUMMYFUNCTION("SPARKLINE(SUM(E10:P10),{""charttype"",""bar"";""max"",$S$2})"),"")</f>
        <v/>
      </c>
      <c r="T10" s="36"/>
    </row>
    <row r="11" spans="1:20" ht="16.2" outlineLevel="1">
      <c r="A11" s="37"/>
      <c r="B11" s="38" t="str">
        <f t="array" aca="1" ref="B11" ca="1">IFERROR(INDEX(#REF!,MATCH(C11,#REF!,0)),"")</f>
        <v/>
      </c>
      <c r="C11" s="39" t="str">
        <f ca="1">IFERROR(__xludf.DUMMYFUNCTION("""COMPUTED_VALUE"""),"Camila")</f>
        <v>Camila</v>
      </c>
      <c r="D11" s="39" t="str">
        <f ca="1">IFERROR(__xludf.DUMMYFUNCTION("""COMPUTED_VALUE"""),"Camila Coelho Soares")</f>
        <v>Camila Coelho Soares</v>
      </c>
      <c r="E11" s="40">
        <f ca="1">SUMIFS(Pagamentos!$E:$E,Pagamentos!$F:$F,TRUE,Pagamentos!$C:$C,$C11,Pagamentos!$D:$D,E$2)</f>
        <v>20</v>
      </c>
      <c r="F11" s="40">
        <f ca="1">SUMIFS(Pagamentos!$E:$E,Pagamentos!$F:$F,TRUE,Pagamentos!$C:$C,$C11,Pagamentos!$D:$D,F$2)</f>
        <v>20</v>
      </c>
      <c r="G11" s="40">
        <f ca="1">SUMIFS(Pagamentos!$E:$E,Pagamentos!$F:$F,TRUE,Pagamentos!$C:$C,$C11,Pagamentos!$D:$D,G$2)</f>
        <v>20</v>
      </c>
      <c r="H11" s="40">
        <f ca="1">SUMIFS(Pagamentos!$E:$E,Pagamentos!$F:$F,TRUE,Pagamentos!$C:$C,$C11,Pagamentos!$D:$D,H$2)</f>
        <v>20</v>
      </c>
      <c r="I11" s="40">
        <f ca="1">SUMIFS(Pagamentos!$E:$E,Pagamentos!$F:$F,TRUE,Pagamentos!$C:$C,$C11,Pagamentos!$D:$D,I$2)</f>
        <v>20</v>
      </c>
      <c r="J11" s="40">
        <f ca="1">SUMIFS(Pagamentos!$E:$E,Pagamentos!$F:$F,TRUE,Pagamentos!$C:$C,$C11,Pagamentos!$D:$D,J$2)</f>
        <v>20</v>
      </c>
      <c r="K11" s="40">
        <f ca="1">SUMIFS(Pagamentos!$E:$E,Pagamentos!$F:$F,TRUE,Pagamentos!$C:$C,$C11,Pagamentos!$D:$D,K$2)</f>
        <v>20</v>
      </c>
      <c r="L11" s="40">
        <f ca="1">SUMIFS(Pagamentos!$E:$E,Pagamentos!$F:$F,TRUE,Pagamentos!$C:$C,$C11,Pagamentos!$D:$D,L$2)</f>
        <v>0</v>
      </c>
      <c r="M11" s="40">
        <f ca="1">SUMIFS(Pagamentos!$E:$E,Pagamentos!$F:$F,TRUE,Pagamentos!$C:$C,$C11,Pagamentos!$D:$D,M$2)</f>
        <v>0</v>
      </c>
      <c r="N11" s="40">
        <f ca="1">SUMIFS(Pagamentos!$E:$E,Pagamentos!$F:$F,TRUE,Pagamentos!$C:$C,$C11,Pagamentos!$D:$D,N$2)</f>
        <v>0</v>
      </c>
      <c r="O11" s="40">
        <f ca="1">SUMIFS(Pagamentos!$E:$E,Pagamentos!$F:$F,TRUE,Pagamentos!$C:$C,$C11,Pagamentos!$D:$D,O$2)</f>
        <v>0</v>
      </c>
      <c r="P11" s="40">
        <f ca="1">SUMIFS(Pagamentos!$E:$E,Pagamentos!$F:$F,TRUE,Pagamentos!$C:$C,$C11,Pagamentos!$D:$D,P$2)</f>
        <v>0</v>
      </c>
      <c r="Q11" s="41">
        <v>0</v>
      </c>
      <c r="R11" s="42">
        <f t="shared" ca="1" si="2"/>
        <v>-1</v>
      </c>
      <c r="S11" s="43" t="str">
        <f ca="1">IFERROR(__xludf.DUMMYFUNCTION("SPARKLINE(SUM(E11:P11),{""charttype"",""bar"";""max"",$S$2})"),"")</f>
        <v/>
      </c>
      <c r="T11" s="44"/>
    </row>
    <row r="12" spans="1:20" ht="16.2" outlineLevel="1">
      <c r="A12" s="24"/>
      <c r="B12" s="29" t="str">
        <f t="array" aca="1" ref="B12" ca="1">IFERROR(INDEX(#REF!,MATCH(C12,#REF!,0)),"")</f>
        <v/>
      </c>
      <c r="C12" s="31" t="str">
        <f ca="1">IFERROR(__xludf.DUMMYFUNCTION("""COMPUTED_VALUE"""),"Coelho")</f>
        <v>Coelho</v>
      </c>
      <c r="D12" s="31" t="str">
        <f ca="1">IFERROR(__xludf.DUMMYFUNCTION("""COMPUTED_VALUE"""),"Ricardo Augusto Coelho")</f>
        <v>Ricardo Augusto Coelho</v>
      </c>
      <c r="E12" s="32">
        <f ca="1">SUMIFS(Pagamentos!$E:$E,Pagamentos!$F:$F,TRUE,Pagamentos!$C:$C,$C12,Pagamentos!$D:$D,E$2)</f>
        <v>0</v>
      </c>
      <c r="F12" s="32">
        <f ca="1">SUMIFS(Pagamentos!$E:$E,Pagamentos!$F:$F,TRUE,Pagamentos!$C:$C,$C12,Pagamentos!$D:$D,F$2)</f>
        <v>0</v>
      </c>
      <c r="G12" s="32">
        <f ca="1">SUMIFS(Pagamentos!$E:$E,Pagamentos!$F:$F,TRUE,Pagamentos!$C:$C,$C12,Pagamentos!$D:$D,G$2)</f>
        <v>60</v>
      </c>
      <c r="H12" s="32">
        <f ca="1">SUMIFS(Pagamentos!$E:$E,Pagamentos!$F:$F,TRUE,Pagamentos!$C:$C,$C12,Pagamentos!$D:$D,H$2)</f>
        <v>60</v>
      </c>
      <c r="I12" s="32">
        <f ca="1">SUMIFS(Pagamentos!$E:$E,Pagamentos!$F:$F,TRUE,Pagamentos!$C:$C,$C12,Pagamentos!$D:$D,I$2)</f>
        <v>0</v>
      </c>
      <c r="J12" s="32">
        <f ca="1">SUMIFS(Pagamentos!$E:$E,Pagamentos!$F:$F,TRUE,Pagamentos!$C:$C,$C12,Pagamentos!$D:$D,J$2)</f>
        <v>0</v>
      </c>
      <c r="K12" s="32">
        <f ca="1">SUMIFS(Pagamentos!$E:$E,Pagamentos!$F:$F,TRUE,Pagamentos!$C:$C,$C12,Pagamentos!$D:$D,K$2)</f>
        <v>0</v>
      </c>
      <c r="L12" s="32">
        <f ca="1">SUMIFS(Pagamentos!$E:$E,Pagamentos!$F:$F,TRUE,Pagamentos!$C:$C,$C12,Pagamentos!$D:$D,L$2)</f>
        <v>80</v>
      </c>
      <c r="M12" s="32">
        <f ca="1">SUMIFS(Pagamentos!$E:$E,Pagamentos!$F:$F,TRUE,Pagamentos!$C:$C,$C12,Pagamentos!$D:$D,M$2)</f>
        <v>0</v>
      </c>
      <c r="N12" s="32">
        <f ca="1">SUMIFS(Pagamentos!$E:$E,Pagamentos!$F:$F,TRUE,Pagamentos!$C:$C,$C12,Pagamentos!$D:$D,N$2)</f>
        <v>0</v>
      </c>
      <c r="O12" s="32">
        <f ca="1">SUMIFS(Pagamentos!$E:$E,Pagamentos!$F:$F,TRUE,Pagamentos!$C:$C,$C12,Pagamentos!$D:$D,O$2)</f>
        <v>0</v>
      </c>
      <c r="P12" s="32">
        <f ca="1">SUMIFS(Pagamentos!$E:$E,Pagamentos!$F:$F,TRUE,Pagamentos!$C:$C,$C12,Pagamentos!$D:$D,P$2)</f>
        <v>0</v>
      </c>
      <c r="Q12" s="33">
        <v>0</v>
      </c>
      <c r="R12" s="34">
        <f t="shared" ca="1" si="2"/>
        <v>2</v>
      </c>
      <c r="S12" s="46" t="str">
        <f ca="1">IFERROR(__xludf.DUMMYFUNCTION("SPARKLINE(SUM(E12:P12),{""charttype"",""bar"";""max"",$S$2})"),"")</f>
        <v/>
      </c>
      <c r="T12" s="36"/>
    </row>
    <row r="13" spans="1:20" ht="16.2" outlineLevel="1">
      <c r="A13" s="37"/>
      <c r="B13" s="38" t="str">
        <f t="array" aca="1" ref="B13" ca="1">IFERROR(INDEX(#REF!,MATCH(C13,#REF!,0)),"")</f>
        <v/>
      </c>
      <c r="C13" s="39" t="str">
        <f ca="1">IFERROR(__xludf.DUMMYFUNCTION("""COMPUTED_VALUE"""),"Da Silva")</f>
        <v>Da Silva</v>
      </c>
      <c r="D13" s="39" t="str">
        <f ca="1">IFERROR(__xludf.DUMMYFUNCTION("""COMPUTED_VALUE"""),"Alex Sandro Batista da Silva")</f>
        <v>Alex Sandro Batista da Silva</v>
      </c>
      <c r="E13" s="40">
        <f ca="1">SUMIFS(Pagamentos!$E:$E,Pagamentos!$F:$F,TRUE,Pagamentos!$C:$C,$C13,Pagamentos!$D:$D,E$2)</f>
        <v>0</v>
      </c>
      <c r="F13" s="40">
        <f ca="1">SUMIFS(Pagamentos!$E:$E,Pagamentos!$F:$F,TRUE,Pagamentos!$C:$C,$C13,Pagamentos!$D:$D,F$2)</f>
        <v>0</v>
      </c>
      <c r="G13" s="40">
        <f ca="1">SUMIFS(Pagamentos!$E:$E,Pagamentos!$F:$F,TRUE,Pagamentos!$C:$C,$C13,Pagamentos!$D:$D,G$2)</f>
        <v>0</v>
      </c>
      <c r="H13" s="40">
        <f ca="1">SUMIFS(Pagamentos!$E:$E,Pagamentos!$F:$F,TRUE,Pagamentos!$C:$C,$C13,Pagamentos!$D:$D,H$2)</f>
        <v>0</v>
      </c>
      <c r="I13" s="40">
        <f ca="1">SUMIFS(Pagamentos!$E:$E,Pagamentos!$F:$F,TRUE,Pagamentos!$C:$C,$C13,Pagamentos!$D:$D,I$2)</f>
        <v>0</v>
      </c>
      <c r="J13" s="40">
        <f ca="1">SUMIFS(Pagamentos!$E:$E,Pagamentos!$F:$F,TRUE,Pagamentos!$C:$C,$C13,Pagamentos!$D:$D,J$2)</f>
        <v>0</v>
      </c>
      <c r="K13" s="40">
        <f ca="1">SUMIFS(Pagamentos!$E:$E,Pagamentos!$F:$F,TRUE,Pagamentos!$C:$C,$C13,Pagamentos!$D:$D,K$2)</f>
        <v>0</v>
      </c>
      <c r="L13" s="40">
        <f ca="1">SUMIFS(Pagamentos!$E:$E,Pagamentos!$F:$F,TRUE,Pagamentos!$C:$C,$C13,Pagamentos!$D:$D,L$2)</f>
        <v>0</v>
      </c>
      <c r="M13" s="40">
        <f ca="1">SUMIFS(Pagamentos!$E:$E,Pagamentos!$F:$F,TRUE,Pagamentos!$C:$C,$C13,Pagamentos!$D:$D,M$2)</f>
        <v>0</v>
      </c>
      <c r="N13" s="40">
        <f ca="1">SUMIFS(Pagamentos!$E:$E,Pagamentos!$F:$F,TRUE,Pagamentos!$C:$C,$C13,Pagamentos!$D:$D,N$2)</f>
        <v>0</v>
      </c>
      <c r="O13" s="40">
        <f ca="1">SUMIFS(Pagamentos!$E:$E,Pagamentos!$F:$F,TRUE,Pagamentos!$C:$C,$C13,Pagamentos!$D:$D,O$2)</f>
        <v>0</v>
      </c>
      <c r="P13" s="40">
        <f ca="1">SUMIFS(Pagamentos!$E:$E,Pagamentos!$F:$F,TRUE,Pagamentos!$C:$C,$C13,Pagamentos!$D:$D,P$2)</f>
        <v>0</v>
      </c>
      <c r="Q13" s="41">
        <v>12</v>
      </c>
      <c r="R13" s="42">
        <f t="shared" ca="1" si="2"/>
        <v>4</v>
      </c>
      <c r="S13" s="43" t="str">
        <f ca="1">IFERROR(__xludf.DUMMYFUNCTION("SPARKLINE(SUM(E13:P13),{""charttype"",""bar"";""max"",$S$2})"),"")</f>
        <v/>
      </c>
      <c r="T13" s="44"/>
    </row>
    <row r="14" spans="1:20" ht="16.2" outlineLevel="1">
      <c r="A14" s="24"/>
      <c r="B14" s="29" t="str">
        <f t="array" aca="1" ref="B14" ca="1">IFERROR(INDEX(#REF!,MATCH(C14,#REF!,0)),"")</f>
        <v/>
      </c>
      <c r="C14" s="31" t="str">
        <f ca="1">IFERROR(__xludf.DUMMYFUNCTION("""COMPUTED_VALUE"""),"Barros")</f>
        <v>Barros</v>
      </c>
      <c r="D14" s="31" t="str">
        <f ca="1">IFERROR(__xludf.DUMMYFUNCTION("""COMPUTED_VALUE"""),"Michel da Silveira Barros ")</f>
        <v xml:space="preserve">Michel da Silveira Barros </v>
      </c>
      <c r="E14" s="32">
        <f ca="1">SUMIFS(Pagamentos!$E:$E,Pagamentos!$F:$F,TRUE,Pagamentos!$C:$C,$C14,Pagamentos!$D:$D,E$2)</f>
        <v>0</v>
      </c>
      <c r="F14" s="32">
        <f ca="1">SUMIFS(Pagamentos!$E:$E,Pagamentos!$F:$F,TRUE,Pagamentos!$C:$C,$C14,Pagamentos!$D:$D,F$2)</f>
        <v>20</v>
      </c>
      <c r="G14" s="32">
        <f ca="1">SUMIFS(Pagamentos!$E:$E,Pagamentos!$F:$F,TRUE,Pagamentos!$C:$C,$C14,Pagamentos!$D:$D,G$2)</f>
        <v>40</v>
      </c>
      <c r="H14" s="32">
        <f ca="1">SUMIFS(Pagamentos!$E:$E,Pagamentos!$F:$F,TRUE,Pagamentos!$C:$C,$C14,Pagamentos!$D:$D,H$2)</f>
        <v>0</v>
      </c>
      <c r="I14" s="32">
        <f ca="1">SUMIFS(Pagamentos!$E:$E,Pagamentos!$F:$F,TRUE,Pagamentos!$C:$C,$C14,Pagamentos!$D:$D,I$2)</f>
        <v>0</v>
      </c>
      <c r="J14" s="32">
        <f ca="1">SUMIFS(Pagamentos!$E:$E,Pagamentos!$F:$F,TRUE,Pagamentos!$C:$C,$C14,Pagamentos!$D:$D,J$2)</f>
        <v>60</v>
      </c>
      <c r="K14" s="32">
        <f ca="1">SUMIFS(Pagamentos!$E:$E,Pagamentos!$F:$F,TRUE,Pagamentos!$C:$C,$C14,Pagamentos!$D:$D,K$2)</f>
        <v>0</v>
      </c>
      <c r="L14" s="32">
        <f ca="1">SUMIFS(Pagamentos!$E:$E,Pagamentos!$F:$F,TRUE,Pagamentos!$C:$C,$C14,Pagamentos!$D:$D,L$2)</f>
        <v>0</v>
      </c>
      <c r="M14" s="32">
        <f ca="1">SUMIFS(Pagamentos!$E:$E,Pagamentos!$F:$F,TRUE,Pagamentos!$C:$C,$C14,Pagamentos!$D:$D,M$2)</f>
        <v>0</v>
      </c>
      <c r="N14" s="32">
        <f ca="1">SUMIFS(Pagamentos!$E:$E,Pagamentos!$F:$F,TRUE,Pagamentos!$C:$C,$C14,Pagamentos!$D:$D,N$2)</f>
        <v>0</v>
      </c>
      <c r="O14" s="32">
        <f ca="1">SUMIFS(Pagamentos!$E:$E,Pagamentos!$F:$F,TRUE,Pagamentos!$C:$C,$C14,Pagamentos!$D:$D,O$2)</f>
        <v>0</v>
      </c>
      <c r="P14" s="32">
        <f ca="1">SUMIFS(Pagamentos!$E:$E,Pagamentos!$F:$F,TRUE,Pagamentos!$C:$C,$C14,Pagamentos!$D:$D,P$2)</f>
        <v>0</v>
      </c>
      <c r="Q14" s="33">
        <v>0</v>
      </c>
      <c r="R14" s="34">
        <f t="shared" ca="1" si="2"/>
        <v>-2</v>
      </c>
      <c r="S14" s="46" t="str">
        <f ca="1">IFERROR(__xludf.DUMMYFUNCTION("SPARKLINE(SUM(E14:P14),{""charttype"",""bar"";""max"",$S$2})"),"")</f>
        <v/>
      </c>
      <c r="T14" s="36"/>
    </row>
    <row r="15" spans="1:20" ht="16.2" outlineLevel="1">
      <c r="A15" s="37"/>
      <c r="B15" s="38" t="str">
        <f t="array" aca="1" ref="B15" ca="1">IFERROR(INDEX(#REF!,MATCH(C15,#REF!,0)),"")</f>
        <v/>
      </c>
      <c r="C15" s="39" t="str">
        <f ca="1">IFERROR(__xludf.DUMMYFUNCTION("""COMPUTED_VALUE"""),"Deny")</f>
        <v>Deny</v>
      </c>
      <c r="D15" s="39" t="str">
        <f ca="1">IFERROR(__xludf.DUMMYFUNCTION("""COMPUTED_VALUE"""),"Deny Anderson Azevedo ")</f>
        <v xml:space="preserve">Deny Anderson Azevedo </v>
      </c>
      <c r="E15" s="40">
        <f ca="1">SUMIFS(Pagamentos!$E:$E,Pagamentos!$F:$F,TRUE,Pagamentos!$C:$C,$C15,Pagamentos!$D:$D,E$2)</f>
        <v>0</v>
      </c>
      <c r="F15" s="40">
        <f ca="1">SUMIFS(Pagamentos!$E:$E,Pagamentos!$F:$F,TRUE,Pagamentos!$C:$C,$C15,Pagamentos!$D:$D,F$2)</f>
        <v>0</v>
      </c>
      <c r="G15" s="40">
        <f ca="1">SUMIFS(Pagamentos!$E:$E,Pagamentos!$F:$F,TRUE,Pagamentos!$C:$C,$C15,Pagamentos!$D:$D,G$2)</f>
        <v>0</v>
      </c>
      <c r="H15" s="40">
        <f ca="1">SUMIFS(Pagamentos!$E:$E,Pagamentos!$F:$F,TRUE,Pagamentos!$C:$C,$C15,Pagamentos!$D:$D,H$2)</f>
        <v>0</v>
      </c>
      <c r="I15" s="40">
        <f ca="1">SUMIFS(Pagamentos!$E:$E,Pagamentos!$F:$F,TRUE,Pagamentos!$C:$C,$C15,Pagamentos!$D:$D,I$2)</f>
        <v>0</v>
      </c>
      <c r="J15" s="40">
        <f ca="1">SUMIFS(Pagamentos!$E:$E,Pagamentos!$F:$F,TRUE,Pagamentos!$C:$C,$C15,Pagamentos!$D:$D,J$2)</f>
        <v>60</v>
      </c>
      <c r="K15" s="40">
        <f ca="1">SUMIFS(Pagamentos!$E:$E,Pagamentos!$F:$F,TRUE,Pagamentos!$C:$C,$C15,Pagamentos!$D:$D,K$2)</f>
        <v>0</v>
      </c>
      <c r="L15" s="40">
        <f ca="1">SUMIFS(Pagamentos!$E:$E,Pagamentos!$F:$F,TRUE,Pagamentos!$C:$C,$C15,Pagamentos!$D:$D,L$2)</f>
        <v>0</v>
      </c>
      <c r="M15" s="40">
        <f ca="1">SUMIFS(Pagamentos!$E:$E,Pagamentos!$F:$F,TRUE,Pagamentos!$C:$C,$C15,Pagamentos!$D:$D,M$2)</f>
        <v>0</v>
      </c>
      <c r="N15" s="40">
        <f ca="1">SUMIFS(Pagamentos!$E:$E,Pagamentos!$F:$F,TRUE,Pagamentos!$C:$C,$C15,Pagamentos!$D:$D,N$2)</f>
        <v>0</v>
      </c>
      <c r="O15" s="40">
        <f ca="1">SUMIFS(Pagamentos!$E:$E,Pagamentos!$F:$F,TRUE,Pagamentos!$C:$C,$C15,Pagamentos!$D:$D,O$2)</f>
        <v>0</v>
      </c>
      <c r="P15" s="40">
        <f ca="1">SUMIFS(Pagamentos!$E:$E,Pagamentos!$F:$F,TRUE,Pagamentos!$C:$C,$C15,Pagamentos!$D:$D,P$2)</f>
        <v>0</v>
      </c>
      <c r="Q15" s="41">
        <v>3</v>
      </c>
      <c r="R15" s="42">
        <f t="shared" ca="1" si="2"/>
        <v>-2</v>
      </c>
      <c r="S15" s="43" t="str">
        <f ca="1">IFERROR(__xludf.DUMMYFUNCTION("SPARKLINE(SUM(E15:P15),{""charttype"",""bar"";""max"",$S$2})"),"")</f>
        <v/>
      </c>
      <c r="T15" s="44"/>
    </row>
    <row r="16" spans="1:20" ht="16.2" outlineLevel="1">
      <c r="A16" s="24"/>
      <c r="B16" s="29" t="str">
        <f t="array" aca="1" ref="B16" ca="1">IFERROR(INDEX(#REF!,MATCH(C16,#REF!,0)),"")</f>
        <v/>
      </c>
      <c r="C16" s="31" t="str">
        <f ca="1">IFERROR(__xludf.DUMMYFUNCTION("""COMPUTED_VALUE"""),"Eder")</f>
        <v>Eder</v>
      </c>
      <c r="D16" s="31" t="str">
        <f ca="1">IFERROR(__xludf.DUMMYFUNCTION("""COMPUTED_VALUE"""),"Eder Alison Da Silva")</f>
        <v>Eder Alison Da Silva</v>
      </c>
      <c r="E16" s="32">
        <f ca="1">SUMIFS(Pagamentos!$E:$E,Pagamentos!$F:$F,TRUE,Pagamentos!$C:$C,$C16,Pagamentos!$D:$D,E$2)</f>
        <v>0</v>
      </c>
      <c r="F16" s="32">
        <f ca="1">SUMIFS(Pagamentos!$E:$E,Pagamentos!$F:$F,TRUE,Pagamentos!$C:$C,$C16,Pagamentos!$D:$D,F$2)</f>
        <v>0</v>
      </c>
      <c r="G16" s="32">
        <f ca="1">SUMIFS(Pagamentos!$E:$E,Pagamentos!$F:$F,TRUE,Pagamentos!$C:$C,$C16,Pagamentos!$D:$D,G$2)</f>
        <v>0</v>
      </c>
      <c r="H16" s="32">
        <f ca="1">SUMIFS(Pagamentos!$E:$E,Pagamentos!$F:$F,TRUE,Pagamentos!$C:$C,$C16,Pagamentos!$D:$D,H$2)</f>
        <v>100</v>
      </c>
      <c r="I16" s="32">
        <f ca="1">SUMIFS(Pagamentos!$E:$E,Pagamentos!$F:$F,TRUE,Pagamentos!$C:$C,$C16,Pagamentos!$D:$D,I$2)</f>
        <v>0</v>
      </c>
      <c r="J16" s="32">
        <f ca="1">SUMIFS(Pagamentos!$E:$E,Pagamentos!$F:$F,TRUE,Pagamentos!$C:$C,$C16,Pagamentos!$D:$D,J$2)</f>
        <v>40</v>
      </c>
      <c r="K16" s="32">
        <f ca="1">SUMIFS(Pagamentos!$E:$E,Pagamentos!$F:$F,TRUE,Pagamentos!$C:$C,$C16,Pagamentos!$D:$D,K$2)</f>
        <v>0</v>
      </c>
      <c r="L16" s="32">
        <f ca="1">SUMIFS(Pagamentos!$E:$E,Pagamentos!$F:$F,TRUE,Pagamentos!$C:$C,$C16,Pagamentos!$D:$D,L$2)</f>
        <v>0</v>
      </c>
      <c r="M16" s="32">
        <f ca="1">SUMIFS(Pagamentos!$E:$E,Pagamentos!$F:$F,TRUE,Pagamentos!$C:$C,$C16,Pagamentos!$D:$D,M$2)</f>
        <v>0</v>
      </c>
      <c r="N16" s="32">
        <f ca="1">SUMIFS(Pagamentos!$E:$E,Pagamentos!$F:$F,TRUE,Pagamentos!$C:$C,$C16,Pagamentos!$D:$D,N$2)</f>
        <v>0</v>
      </c>
      <c r="O16" s="32">
        <f ca="1">SUMIFS(Pagamentos!$E:$E,Pagamentos!$F:$F,TRUE,Pagamentos!$C:$C,$C16,Pagamentos!$D:$D,O$2)</f>
        <v>0</v>
      </c>
      <c r="P16" s="32">
        <f ca="1">SUMIFS(Pagamentos!$E:$E,Pagamentos!$F:$F,TRUE,Pagamentos!$C:$C,$C16,Pagamentos!$D:$D,P$2)</f>
        <v>0</v>
      </c>
      <c r="Q16" s="33">
        <v>-1</v>
      </c>
      <c r="R16" s="34">
        <f t="shared" ca="1" si="2"/>
        <v>-2</v>
      </c>
      <c r="S16" s="46" t="str">
        <f ca="1">IFERROR(__xludf.DUMMYFUNCTION("SPARKLINE(SUM(E16:P16),{""charttype"",""bar"";""max"",$S$2})"),"")</f>
        <v/>
      </c>
      <c r="T16" s="36"/>
    </row>
    <row r="17" spans="1:20" ht="16.2" outlineLevel="1">
      <c r="A17" s="48"/>
      <c r="B17" s="38" t="str">
        <f t="array" aca="1" ref="B17" ca="1">IFERROR(INDEX(#REF!,MATCH(C17,#REF!,0)),"")</f>
        <v/>
      </c>
      <c r="C17" s="39" t="str">
        <f ca="1">IFERROR(__xludf.DUMMYFUNCTION("""COMPUTED_VALUE"""),"Elaine")</f>
        <v>Elaine</v>
      </c>
      <c r="D17" s="39" t="str">
        <f ca="1">IFERROR(__xludf.DUMMYFUNCTION("""COMPUTED_VALUE"""),"Elaine Conrado Bittencourt ")</f>
        <v xml:space="preserve">Elaine Conrado Bittencourt </v>
      </c>
      <c r="E17" s="40">
        <f ca="1">SUMIFS(Pagamentos!$E:$E,Pagamentos!$F:$F,TRUE,Pagamentos!$C:$C,$C17,Pagamentos!$D:$D,E$2)</f>
        <v>0</v>
      </c>
      <c r="F17" s="40">
        <f ca="1">SUMIFS(Pagamentos!$E:$E,Pagamentos!$F:$F,TRUE,Pagamentos!$C:$C,$C17,Pagamentos!$D:$D,F$2)</f>
        <v>40</v>
      </c>
      <c r="G17" s="40">
        <f ca="1">SUMIFS(Pagamentos!$E:$E,Pagamentos!$F:$F,TRUE,Pagamentos!$C:$C,$C17,Pagamentos!$D:$D,G$2)</f>
        <v>20</v>
      </c>
      <c r="H17" s="40">
        <f ca="1">SUMIFS(Pagamentos!$E:$E,Pagamentos!$F:$F,TRUE,Pagamentos!$C:$C,$C17,Pagamentos!$D:$D,H$2)</f>
        <v>0</v>
      </c>
      <c r="I17" s="40">
        <f ca="1">SUMIFS(Pagamentos!$E:$E,Pagamentos!$F:$F,TRUE,Pagamentos!$C:$C,$C17,Pagamentos!$D:$D,I$2)</f>
        <v>20</v>
      </c>
      <c r="J17" s="40">
        <f ca="1">SUMIFS(Pagamentos!$E:$E,Pagamentos!$F:$F,TRUE,Pagamentos!$C:$C,$C17,Pagamentos!$D:$D,J$2)</f>
        <v>60</v>
      </c>
      <c r="K17" s="40">
        <f ca="1">SUMIFS(Pagamentos!$E:$E,Pagamentos!$F:$F,TRUE,Pagamentos!$C:$C,$C17,Pagamentos!$D:$D,K$2)</f>
        <v>0</v>
      </c>
      <c r="L17" s="40">
        <f ca="1">SUMIFS(Pagamentos!$E:$E,Pagamentos!$F:$F,TRUE,Pagamentos!$C:$C,$C17,Pagamentos!$D:$D,L$2)</f>
        <v>0</v>
      </c>
      <c r="M17" s="40">
        <f ca="1">SUMIFS(Pagamentos!$E:$E,Pagamentos!$F:$F,TRUE,Pagamentos!$C:$C,$C17,Pagamentos!$D:$D,M$2)</f>
        <v>0</v>
      </c>
      <c r="N17" s="40">
        <f ca="1">SUMIFS(Pagamentos!$E:$E,Pagamentos!$F:$F,TRUE,Pagamentos!$C:$C,$C17,Pagamentos!$D:$D,N$2)</f>
        <v>0</v>
      </c>
      <c r="O17" s="40">
        <f ca="1">SUMIFS(Pagamentos!$E:$E,Pagamentos!$F:$F,TRUE,Pagamentos!$C:$C,$C17,Pagamentos!$D:$D,O$2)</f>
        <v>0</v>
      </c>
      <c r="P17" s="40">
        <f ca="1">SUMIFS(Pagamentos!$E:$E,Pagamentos!$F:$F,TRUE,Pagamentos!$C:$C,$C17,Pagamentos!$D:$D,P$2)</f>
        <v>0</v>
      </c>
      <c r="Q17" s="41">
        <v>0</v>
      </c>
      <c r="R17" s="42">
        <f t="shared" ca="1" si="2"/>
        <v>-1</v>
      </c>
      <c r="S17" s="49" t="str">
        <f ca="1">IFERROR(__xludf.DUMMYFUNCTION("SPARKLINE(SUM(E17:P17),{""charttype"",""bar"";""max"",$S$2})"),"")</f>
        <v/>
      </c>
      <c r="T17" s="50"/>
    </row>
    <row r="18" spans="1:20" ht="16.2" outlineLevel="1">
      <c r="A18" s="24"/>
      <c r="B18" s="29" t="str">
        <f t="array" aca="1" ref="B18" ca="1">IFERROR(INDEX(#REF!,MATCH(C18,#REF!,0)),"")</f>
        <v/>
      </c>
      <c r="C18" s="31" t="str">
        <f ca="1">IFERROR(__xludf.DUMMYFUNCTION("""COMPUTED_VALUE"""),"Fabiana")</f>
        <v>Fabiana</v>
      </c>
      <c r="D18" s="31" t="str">
        <f ca="1">IFERROR(__xludf.DUMMYFUNCTION("""COMPUTED_VALUE"""),"Fabiana Oro Cericato Costa")</f>
        <v>Fabiana Oro Cericato Costa</v>
      </c>
      <c r="E18" s="32">
        <f ca="1">SUMIFS(Pagamentos!$E:$E,Pagamentos!$F:$F,TRUE,Pagamentos!$C:$C,$C18,Pagamentos!$D:$D,E$2)</f>
        <v>0</v>
      </c>
      <c r="F18" s="32">
        <f ca="1">SUMIFS(Pagamentos!$E:$E,Pagamentos!$F:$F,TRUE,Pagamentos!$C:$C,$C18,Pagamentos!$D:$D,F$2)</f>
        <v>200</v>
      </c>
      <c r="G18" s="32">
        <f ca="1">SUMIFS(Pagamentos!$E:$E,Pagamentos!$F:$F,TRUE,Pagamentos!$C:$C,$C18,Pagamentos!$D:$D,G$2)</f>
        <v>0</v>
      </c>
      <c r="H18" s="32">
        <f ca="1">SUMIFS(Pagamentos!$E:$E,Pagamentos!$F:$F,TRUE,Pagamentos!$C:$C,$C18,Pagamentos!$D:$D,H$2)</f>
        <v>0</v>
      </c>
      <c r="I18" s="71">
        <f ca="1">SUMIFS(Pagamentos!$E:$E,Pagamentos!$F:$F,TRUE,Pagamentos!$C:$C,$C18,Pagamentos!$D:$D,I$2)</f>
        <v>0</v>
      </c>
      <c r="J18" s="32">
        <f ca="1">SUMIFS(Pagamentos!$E:$E,Pagamentos!$F:$F,TRUE,Pagamentos!$C:$C,$C18,Pagamentos!$D:$D,J$2)</f>
        <v>0</v>
      </c>
      <c r="K18" s="32">
        <f ca="1">SUMIFS(Pagamentos!$E:$E,Pagamentos!$F:$F,TRUE,Pagamentos!$C:$C,$C18,Pagamentos!$D:$D,K$2)</f>
        <v>0</v>
      </c>
      <c r="L18" s="32">
        <f ca="1">SUMIFS(Pagamentos!$E:$E,Pagamentos!$F:$F,TRUE,Pagamentos!$C:$C,$C18,Pagamentos!$D:$D,L$2)</f>
        <v>0</v>
      </c>
      <c r="M18" s="32">
        <f ca="1">SUMIFS(Pagamentos!$E:$E,Pagamentos!$F:$F,TRUE,Pagamentos!$C:$C,$C18,Pagamentos!$D:$D,M$2)</f>
        <v>0</v>
      </c>
      <c r="N18" s="32">
        <f ca="1">SUMIFS(Pagamentos!$E:$E,Pagamentos!$F:$F,TRUE,Pagamentos!$C:$C,$C18,Pagamentos!$D:$D,N$2)</f>
        <v>0</v>
      </c>
      <c r="O18" s="32">
        <f ca="1">SUMIFS(Pagamentos!$E:$E,Pagamentos!$F:$F,TRUE,Pagamentos!$C:$C,$C18,Pagamentos!$D:$D,O$2)</f>
        <v>0</v>
      </c>
      <c r="P18" s="32">
        <f ca="1">SUMIFS(Pagamentos!$E:$E,Pagamentos!$F:$F,TRUE,Pagamentos!$C:$C,$C18,Pagamentos!$D:$D,P$2)</f>
        <v>0</v>
      </c>
      <c r="Q18" s="33">
        <v>1</v>
      </c>
      <c r="R18" s="34">
        <f t="shared" ca="1" si="2"/>
        <v>3</v>
      </c>
      <c r="S18" s="46" t="str">
        <f ca="1">IFERROR(__xludf.DUMMYFUNCTION("SPARKLINE(SUM(E18:P18),{""charttype"",""bar"";""max"",$S$2})"),"")</f>
        <v/>
      </c>
      <c r="T18" s="36"/>
    </row>
    <row r="19" spans="1:20" ht="16.2" outlineLevel="1">
      <c r="A19" s="37"/>
      <c r="B19" s="38" t="str">
        <f t="array" aca="1" ref="B19" ca="1">IFERROR(INDEX(#REF!,MATCH(C19,#REF!,0)),"")</f>
        <v/>
      </c>
      <c r="C19" s="39" t="str">
        <f ca="1">IFERROR(__xludf.DUMMYFUNCTION("""COMPUTED_VALUE"""),"Gabriel")</f>
        <v>Gabriel</v>
      </c>
      <c r="D19" s="39" t="str">
        <f ca="1">IFERROR(__xludf.DUMMYFUNCTION("""COMPUTED_VALUE"""),"Gabriel Francisco Farias da Silva")</f>
        <v>Gabriel Francisco Farias da Silva</v>
      </c>
      <c r="E19" s="40">
        <f ca="1">SUMIFS(Pagamentos!$E:$E,Pagamentos!$F:$F,TRUE,Pagamentos!$C:$C,$C19,Pagamentos!$D:$D,E$2)</f>
        <v>0</v>
      </c>
      <c r="F19" s="40">
        <f ca="1">SUMIFS(Pagamentos!$E:$E,Pagamentos!$F:$F,TRUE,Pagamentos!$C:$C,$C19,Pagamentos!$D:$D,F$2)</f>
        <v>40</v>
      </c>
      <c r="G19" s="40">
        <f ca="1">SUMIFS(Pagamentos!$E:$E,Pagamentos!$F:$F,TRUE,Pagamentos!$C:$C,$C19,Pagamentos!$D:$D,G$2)</f>
        <v>20</v>
      </c>
      <c r="H19" s="40">
        <f ca="1">SUMIFS(Pagamentos!$E:$E,Pagamentos!$F:$F,TRUE,Pagamentos!$C:$C,$C19,Pagamentos!$D:$D,H$2)</f>
        <v>0</v>
      </c>
      <c r="I19" s="40">
        <f ca="1">SUMIFS(Pagamentos!$E:$E,Pagamentos!$F:$F,TRUE,Pagamentos!$C:$C,$C19,Pagamentos!$D:$D,I$2)</f>
        <v>0</v>
      </c>
      <c r="J19" s="40">
        <f ca="1">SUMIFS(Pagamentos!$E:$E,Pagamentos!$F:$F,TRUE,Pagamentos!$C:$C,$C19,Pagamentos!$D:$D,J$2)</f>
        <v>60</v>
      </c>
      <c r="K19" s="40">
        <f ca="1">SUMIFS(Pagamentos!$E:$E,Pagamentos!$F:$F,TRUE,Pagamentos!$C:$C,$C19,Pagamentos!$D:$D,K$2)</f>
        <v>0</v>
      </c>
      <c r="L19" s="40">
        <f ca="1">SUMIFS(Pagamentos!$E:$E,Pagamentos!$F:$F,TRUE,Pagamentos!$C:$C,$C19,Pagamentos!$D:$D,L$2)</f>
        <v>40</v>
      </c>
      <c r="M19" s="40">
        <f ca="1">SUMIFS(Pagamentos!$E:$E,Pagamentos!$F:$F,TRUE,Pagamentos!$C:$C,$C19,Pagamentos!$D:$D,M$2)</f>
        <v>0</v>
      </c>
      <c r="N19" s="40">
        <f ca="1">SUMIFS(Pagamentos!$E:$E,Pagamentos!$F:$F,TRUE,Pagamentos!$C:$C,$C19,Pagamentos!$D:$D,N$2)</f>
        <v>0</v>
      </c>
      <c r="O19" s="40">
        <f ca="1">SUMIFS(Pagamentos!$E:$E,Pagamentos!$F:$F,TRUE,Pagamentos!$C:$C,$C19,Pagamentos!$D:$D,O$2)</f>
        <v>0</v>
      </c>
      <c r="P19" s="40">
        <f ca="1">SUMIFS(Pagamentos!$E:$E,Pagamentos!$F:$F,TRUE,Pagamentos!$C:$C,$C19,Pagamentos!$D:$D,P$2)</f>
        <v>0</v>
      </c>
      <c r="Q19" s="41">
        <v>0</v>
      </c>
      <c r="R19" s="42">
        <f t="shared" ca="1" si="2"/>
        <v>0</v>
      </c>
      <c r="S19" s="43" t="str">
        <f ca="1">IFERROR(__xludf.DUMMYFUNCTION("SPARKLINE(SUM(E19:P19),{""charttype"",""bar"";""max"",$S$2})"),"")</f>
        <v/>
      </c>
      <c r="T19" s="44"/>
    </row>
    <row r="20" spans="1:20" ht="16.2" outlineLevel="1">
      <c r="A20" s="72"/>
      <c r="B20" s="29" t="str">
        <f t="array" aca="1" ref="B20" ca="1">IFERROR(INDEX(#REF!,MATCH(C20,#REF!,0)),"")</f>
        <v/>
      </c>
      <c r="C20" s="31" t="str">
        <f ca="1">IFERROR(__xludf.DUMMYFUNCTION("""COMPUTED_VALUE"""),"Henkes")</f>
        <v>Henkes</v>
      </c>
      <c r="D20" s="31" t="str">
        <f ca="1">IFERROR(__xludf.DUMMYFUNCTION("""COMPUTED_VALUE"""),"Marcia Aparecida Henkes")</f>
        <v>Marcia Aparecida Henkes</v>
      </c>
      <c r="E20" s="32">
        <f ca="1">SUMIFS(Pagamentos!$E:$E,Pagamentos!$F:$F,TRUE,Pagamentos!$C:$C,$C20,Pagamentos!$D:$D,E$2)</f>
        <v>0</v>
      </c>
      <c r="F20" s="32">
        <f ca="1">SUMIFS(Pagamentos!$E:$E,Pagamentos!$F:$F,TRUE,Pagamentos!$C:$C,$C20,Pagamentos!$D:$D,F$2)</f>
        <v>0</v>
      </c>
      <c r="G20" s="32">
        <f ca="1">SUMIFS(Pagamentos!$E:$E,Pagamentos!$F:$F,TRUE,Pagamentos!$C:$C,$C20,Pagamentos!$D:$D,G$2)</f>
        <v>100</v>
      </c>
      <c r="H20" s="32">
        <f ca="1">SUMIFS(Pagamentos!$E:$E,Pagamentos!$F:$F,TRUE,Pagamentos!$C:$C,$C20,Pagamentos!$D:$D,H$2)</f>
        <v>0</v>
      </c>
      <c r="I20" s="32">
        <f ca="1">SUMIFS(Pagamentos!$E:$E,Pagamentos!$F:$F,TRUE,Pagamentos!$C:$C,$C20,Pagamentos!$D:$D,I$2)</f>
        <v>0</v>
      </c>
      <c r="J20" s="32">
        <f ca="1">SUMIFS(Pagamentos!$E:$E,Pagamentos!$F:$F,TRUE,Pagamentos!$C:$C,$C20,Pagamentos!$D:$D,J$2)</f>
        <v>60</v>
      </c>
      <c r="K20" s="32">
        <f ca="1">SUMIFS(Pagamentos!$E:$E,Pagamentos!$F:$F,TRUE,Pagamentos!$C:$C,$C20,Pagamentos!$D:$D,K$2)</f>
        <v>0</v>
      </c>
      <c r="L20" s="32">
        <f ca="1">SUMIFS(Pagamentos!$E:$E,Pagamentos!$F:$F,TRUE,Pagamentos!$C:$C,$C20,Pagamentos!$D:$D,L$2)</f>
        <v>0</v>
      </c>
      <c r="M20" s="32">
        <f ca="1">SUMIFS(Pagamentos!$E:$E,Pagamentos!$F:$F,TRUE,Pagamentos!$C:$C,$C20,Pagamentos!$D:$D,M$2)</f>
        <v>0</v>
      </c>
      <c r="N20" s="32">
        <f ca="1">SUMIFS(Pagamentos!$E:$E,Pagamentos!$F:$F,TRUE,Pagamentos!$C:$C,$C20,Pagamentos!$D:$D,N$2)</f>
        <v>0</v>
      </c>
      <c r="O20" s="32">
        <f ca="1">SUMIFS(Pagamentos!$E:$E,Pagamentos!$F:$F,TRUE,Pagamentos!$C:$C,$C20,Pagamentos!$D:$D,O$2)</f>
        <v>0</v>
      </c>
      <c r="P20" s="32">
        <f ca="1">SUMIFS(Pagamentos!$E:$E,Pagamentos!$F:$F,TRUE,Pagamentos!$C:$C,$C20,Pagamentos!$D:$D,P$2)</f>
        <v>0</v>
      </c>
      <c r="Q20" s="33">
        <v>-2</v>
      </c>
      <c r="R20" s="34">
        <f t="shared" ca="1" si="2"/>
        <v>-2</v>
      </c>
      <c r="S20" s="73" t="str">
        <f ca="1">IFERROR(__xludf.DUMMYFUNCTION("SPARKLINE(SUM(E20:P20),{""charttype"",""bar"";""max"",$S$2})"),"")</f>
        <v/>
      </c>
      <c r="T20" s="74"/>
    </row>
    <row r="21" spans="1:20" ht="16.2" outlineLevel="1">
      <c r="A21" s="37"/>
      <c r="B21" s="38" t="str">
        <f t="array" aca="1" ref="B21" ca="1">IFERROR(INDEX(#REF!,MATCH(C21,#REF!,0)),"")</f>
        <v/>
      </c>
      <c r="C21" s="39" t="str">
        <f ca="1">IFERROR(__xludf.DUMMYFUNCTION("""COMPUTED_VALUE"""),"Humberto")</f>
        <v>Humberto</v>
      </c>
      <c r="D21" s="39" t="str">
        <f ca="1">IFERROR(__xludf.DUMMYFUNCTION("""COMPUTED_VALUE"""),"Carlos Humberto luiz")</f>
        <v>Carlos Humberto luiz</v>
      </c>
      <c r="E21" s="40">
        <f ca="1">SUMIFS(Pagamentos!$E:$E,Pagamentos!$F:$F,TRUE,Pagamentos!$C:$C,$C21,Pagamentos!$D:$D,E$2)</f>
        <v>0</v>
      </c>
      <c r="F21" s="40">
        <f ca="1">SUMIFS(Pagamentos!$E:$E,Pagamentos!$F:$F,TRUE,Pagamentos!$C:$C,$C21,Pagamentos!$D:$D,F$2)</f>
        <v>0</v>
      </c>
      <c r="G21" s="40">
        <f ca="1">SUMIFS(Pagamentos!$E:$E,Pagamentos!$F:$F,TRUE,Pagamentos!$C:$C,$C21,Pagamentos!$D:$D,G$2)</f>
        <v>60</v>
      </c>
      <c r="H21" s="40">
        <f ca="1">SUMIFS(Pagamentos!$E:$E,Pagamentos!$F:$F,TRUE,Pagamentos!$C:$C,$C21,Pagamentos!$D:$D,H$2)</f>
        <v>20</v>
      </c>
      <c r="I21" s="40">
        <f ca="1">SUMIFS(Pagamentos!$E:$E,Pagamentos!$F:$F,TRUE,Pagamentos!$C:$C,$C21,Pagamentos!$D:$D,I$2)</f>
        <v>20</v>
      </c>
      <c r="J21" s="40">
        <f ca="1">SUMIFS(Pagamentos!$E:$E,Pagamentos!$F:$F,TRUE,Pagamentos!$C:$C,$C21,Pagamentos!$D:$D,J$2)</f>
        <v>20</v>
      </c>
      <c r="K21" s="40">
        <f ca="1">SUMIFS(Pagamentos!$E:$E,Pagamentos!$F:$F,TRUE,Pagamentos!$C:$C,$C21,Pagamentos!$D:$D,K$2)</f>
        <v>20</v>
      </c>
      <c r="L21" s="40">
        <f ca="1">SUMIFS(Pagamentos!$E:$E,Pagamentos!$F:$F,TRUE,Pagamentos!$C:$C,$C21,Pagamentos!$D:$D,L$2)</f>
        <v>20</v>
      </c>
      <c r="M21" s="40">
        <f ca="1">SUMIFS(Pagamentos!$E:$E,Pagamentos!$F:$F,TRUE,Pagamentos!$C:$C,$C21,Pagamentos!$D:$D,M$2)</f>
        <v>0</v>
      </c>
      <c r="N21" s="40">
        <f ca="1">SUMIFS(Pagamentos!$E:$E,Pagamentos!$F:$F,TRUE,Pagamentos!$C:$C,$C21,Pagamentos!$D:$D,N$2)</f>
        <v>0</v>
      </c>
      <c r="O21" s="40">
        <f ca="1">SUMIFS(Pagamentos!$E:$E,Pagamentos!$F:$F,TRUE,Pagamentos!$C:$C,$C21,Pagamentos!$D:$D,O$2)</f>
        <v>0</v>
      </c>
      <c r="P21" s="40">
        <f ca="1">SUMIFS(Pagamentos!$E:$E,Pagamentos!$F:$F,TRUE,Pagamentos!$C:$C,$C21,Pagamentos!$D:$D,P$2)</f>
        <v>0</v>
      </c>
      <c r="Q21" s="41">
        <v>2</v>
      </c>
      <c r="R21" s="42">
        <f t="shared" ca="1" si="2"/>
        <v>2</v>
      </c>
      <c r="S21" s="43" t="str">
        <f ca="1">IFERROR(__xludf.DUMMYFUNCTION("SPARKLINE(SUM(E21:P21),{""charttype"",""bar"";""max"",$S$2})"),"")</f>
        <v/>
      </c>
      <c r="T21" s="44"/>
    </row>
    <row r="22" spans="1:20" ht="16.2" outlineLevel="1">
      <c r="A22" s="24"/>
      <c r="B22" s="29" t="str">
        <f t="array" aca="1" ref="B22" ca="1">IFERROR(INDEX(#REF!,MATCH(C22,#REF!,0)),"")</f>
        <v/>
      </c>
      <c r="C22" s="31" t="str">
        <f ca="1">IFERROR(__xludf.DUMMYFUNCTION("""COMPUTED_VALUE"""),"Ilton")</f>
        <v>Ilton</v>
      </c>
      <c r="D22" s="31" t="str">
        <f ca="1">IFERROR(__xludf.DUMMYFUNCTION("""COMPUTED_VALUE"""),"Ilton Saturnino Braz")</f>
        <v>Ilton Saturnino Braz</v>
      </c>
      <c r="E22" s="32">
        <f ca="1">SUMIFS(Pagamentos!$E:$E,Pagamentos!$F:$F,TRUE,Pagamentos!$C:$C,$C22,Pagamentos!$D:$D,E$2)</f>
        <v>0</v>
      </c>
      <c r="F22" s="32">
        <f ca="1">SUMIFS(Pagamentos!$E:$E,Pagamentos!$F:$F,TRUE,Pagamentos!$C:$C,$C22,Pagamentos!$D:$D,F$2)</f>
        <v>0</v>
      </c>
      <c r="G22" s="32">
        <f ca="1">SUMIFS(Pagamentos!$E:$E,Pagamentos!$F:$F,TRUE,Pagamentos!$C:$C,$C22,Pagamentos!$D:$D,G$2)</f>
        <v>100</v>
      </c>
      <c r="H22" s="32">
        <f ca="1">SUMIFS(Pagamentos!$E:$E,Pagamentos!$F:$F,TRUE,Pagamentos!$C:$C,$C22,Pagamentos!$D:$D,H$2)</f>
        <v>0</v>
      </c>
      <c r="I22" s="32">
        <f ca="1">SUMIFS(Pagamentos!$E:$E,Pagamentos!$F:$F,TRUE,Pagamentos!$C:$C,$C22,Pagamentos!$D:$D,I$2)</f>
        <v>0</v>
      </c>
      <c r="J22" s="32">
        <f ca="1">SUMIFS(Pagamentos!$E:$E,Pagamentos!$F:$F,TRUE,Pagamentos!$C:$C,$C22,Pagamentos!$D:$D,J$2)</f>
        <v>60</v>
      </c>
      <c r="K22" s="32">
        <f ca="1">SUMIFS(Pagamentos!$E:$E,Pagamentos!$F:$F,TRUE,Pagamentos!$C:$C,$C22,Pagamentos!$D:$D,K$2)</f>
        <v>0</v>
      </c>
      <c r="L22" s="32">
        <f ca="1">SUMIFS(Pagamentos!$E:$E,Pagamentos!$F:$F,TRUE,Pagamentos!$C:$C,$C22,Pagamentos!$D:$D,L$2)</f>
        <v>0</v>
      </c>
      <c r="M22" s="32">
        <f ca="1">SUMIFS(Pagamentos!$E:$E,Pagamentos!$F:$F,TRUE,Pagamentos!$C:$C,$C22,Pagamentos!$D:$D,M$2)</f>
        <v>0</v>
      </c>
      <c r="N22" s="32">
        <f ca="1">SUMIFS(Pagamentos!$E:$E,Pagamentos!$F:$F,TRUE,Pagamentos!$C:$C,$C22,Pagamentos!$D:$D,N$2)</f>
        <v>0</v>
      </c>
      <c r="O22" s="32">
        <f ca="1">SUMIFS(Pagamentos!$E:$E,Pagamentos!$F:$F,TRUE,Pagamentos!$C:$C,$C22,Pagamentos!$D:$D,O$2)</f>
        <v>0</v>
      </c>
      <c r="P22" s="32">
        <f ca="1">SUMIFS(Pagamentos!$E:$E,Pagamentos!$F:$F,TRUE,Pagamentos!$C:$C,$C22,Pagamentos!$D:$D,P$2)</f>
        <v>0</v>
      </c>
      <c r="Q22" s="33">
        <v>-2</v>
      </c>
      <c r="R22" s="34">
        <f t="shared" ca="1" si="2"/>
        <v>-2</v>
      </c>
      <c r="S22" s="46" t="str">
        <f ca="1">IFERROR(__xludf.DUMMYFUNCTION("SPARKLINE(SUM(E22:P22),{""charttype"",""bar"";""max"",$S$2})"),"")</f>
        <v/>
      </c>
      <c r="T22" s="36"/>
    </row>
    <row r="23" spans="1:20" ht="16.2" outlineLevel="1">
      <c r="A23" s="37"/>
      <c r="B23" s="38" t="str">
        <f t="array" aca="1" ref="B23" ca="1">IFERROR(INDEX(#REF!,MATCH(C23,#REF!,0)),"")</f>
        <v/>
      </c>
      <c r="C23" s="39" t="str">
        <f ca="1">IFERROR(__xludf.DUMMYFUNCTION("""COMPUTED_VALUE"""),"Kassandra")</f>
        <v>Kassandra</v>
      </c>
      <c r="D23" s="39" t="str">
        <f ca="1">IFERROR(__xludf.DUMMYFUNCTION("""COMPUTED_VALUE"""),"Gabriela Kassandra Luiz Colossi")</f>
        <v>Gabriela Kassandra Luiz Colossi</v>
      </c>
      <c r="E23" s="40">
        <f ca="1">SUMIFS(Pagamentos!$E:$E,Pagamentos!$F:$F,TRUE,Pagamentos!$C:$C,$C23,Pagamentos!$D:$D,E$2)</f>
        <v>20</v>
      </c>
      <c r="F23" s="40">
        <f ca="1">SUMIFS(Pagamentos!$E:$E,Pagamentos!$F:$F,TRUE,Pagamentos!$C:$C,$C23,Pagamentos!$D:$D,F$2)</f>
        <v>40</v>
      </c>
      <c r="G23" s="40">
        <f ca="1">SUMIFS(Pagamentos!$E:$E,Pagamentos!$F:$F,TRUE,Pagamentos!$C:$C,$C23,Pagamentos!$D:$D,G$2)</f>
        <v>40</v>
      </c>
      <c r="H23" s="40">
        <f ca="1">SUMIFS(Pagamentos!$E:$E,Pagamentos!$F:$F,TRUE,Pagamentos!$C:$C,$C23,Pagamentos!$D:$D,H$2)</f>
        <v>20</v>
      </c>
      <c r="I23" s="40">
        <f ca="1">SUMIFS(Pagamentos!$E:$E,Pagamentos!$F:$F,TRUE,Pagamentos!$C:$C,$C23,Pagamentos!$D:$D,I$2)</f>
        <v>20</v>
      </c>
      <c r="J23" s="40">
        <f ca="1">SUMIFS(Pagamentos!$E:$E,Pagamentos!$F:$F,TRUE,Pagamentos!$C:$C,$C23,Pagamentos!$D:$D,J$2)</f>
        <v>0</v>
      </c>
      <c r="K23" s="40">
        <f ca="1">SUMIFS(Pagamentos!$E:$E,Pagamentos!$F:$F,TRUE,Pagamentos!$C:$C,$C23,Pagamentos!$D:$D,K$2)</f>
        <v>20</v>
      </c>
      <c r="L23" s="40">
        <f ca="1">SUMIFS(Pagamentos!$E:$E,Pagamentos!$F:$F,TRUE,Pagamentos!$C:$C,$C23,Pagamentos!$D:$D,L$2)</f>
        <v>0</v>
      </c>
      <c r="M23" s="40">
        <f ca="1">SUMIFS(Pagamentos!$E:$E,Pagamentos!$F:$F,TRUE,Pagamentos!$C:$C,$C23,Pagamentos!$D:$D,M$2)</f>
        <v>0</v>
      </c>
      <c r="N23" s="40">
        <f ca="1">SUMIFS(Pagamentos!$E:$E,Pagamentos!$F:$F,TRUE,Pagamentos!$C:$C,$C23,Pagamentos!$D:$D,N$2)</f>
        <v>0</v>
      </c>
      <c r="O23" s="40">
        <f ca="1">SUMIFS(Pagamentos!$E:$E,Pagamentos!$F:$F,TRUE,Pagamentos!$C:$C,$C23,Pagamentos!$D:$D,O$2)</f>
        <v>0</v>
      </c>
      <c r="P23" s="40">
        <f ca="1">SUMIFS(Pagamentos!$E:$E,Pagamentos!$F:$F,TRUE,Pagamentos!$C:$C,$C23,Pagamentos!$D:$D,P$2)</f>
        <v>0</v>
      </c>
      <c r="Q23" s="41">
        <v>2</v>
      </c>
      <c r="R23" s="42">
        <f t="shared" ca="1" si="2"/>
        <v>2</v>
      </c>
      <c r="S23" s="43" t="str">
        <f ca="1">IFERROR(__xludf.DUMMYFUNCTION("SPARKLINE(SUM(E23:P23),{""charttype"",""bar"";""max"",$S$2})"),"")</f>
        <v/>
      </c>
      <c r="T23" s="44"/>
    </row>
    <row r="24" spans="1:20" ht="16.2" outlineLevel="1">
      <c r="A24" s="24"/>
      <c r="B24" s="29" t="str">
        <f t="array" aca="1" ref="B24" ca="1">IFERROR(INDEX(#REF!,MATCH(C24,#REF!,0)),"")</f>
        <v/>
      </c>
      <c r="C24" s="31" t="str">
        <f ca="1">IFERROR(__xludf.DUMMYFUNCTION("""COMPUTED_VALUE"""),"Linder")</f>
        <v>Linder</v>
      </c>
      <c r="D24" s="31" t="str">
        <f ca="1">IFERROR(__xludf.DUMMYFUNCTION("""COMPUTED_VALUE"""),"Gustavo Augusto Linder")</f>
        <v>Gustavo Augusto Linder</v>
      </c>
      <c r="E24" s="32">
        <f ca="1">SUMIFS(Pagamentos!$E:$E,Pagamentos!$F:$F,TRUE,Pagamentos!$C:$C,$C24,Pagamentos!$D:$D,E$2)</f>
        <v>0</v>
      </c>
      <c r="F24" s="32">
        <f ca="1">SUMIFS(Pagamentos!$E:$E,Pagamentos!$F:$F,TRUE,Pagamentos!$C:$C,$C24,Pagamentos!$D:$D,F$2)</f>
        <v>60</v>
      </c>
      <c r="G24" s="32">
        <f ca="1">SUMIFS(Pagamentos!$E:$E,Pagamentos!$F:$F,TRUE,Pagamentos!$C:$C,$C24,Pagamentos!$D:$D,G$2)</f>
        <v>0</v>
      </c>
      <c r="H24" s="32">
        <f ca="1">SUMIFS(Pagamentos!$E:$E,Pagamentos!$F:$F,TRUE,Pagamentos!$C:$C,$C24,Pagamentos!$D:$D,H$2)</f>
        <v>0</v>
      </c>
      <c r="I24" s="32">
        <f ca="1">SUMIFS(Pagamentos!$E:$E,Pagamentos!$F:$F,TRUE,Pagamentos!$C:$C,$C24,Pagamentos!$D:$D,I$2)</f>
        <v>0</v>
      </c>
      <c r="J24" s="32">
        <f ca="1">SUMIFS(Pagamentos!$E:$E,Pagamentos!$F:$F,TRUE,Pagamentos!$C:$C,$C24,Pagamentos!$D:$D,J$2)</f>
        <v>40</v>
      </c>
      <c r="K24" s="32">
        <f ca="1">SUMIFS(Pagamentos!$E:$E,Pagamentos!$F:$F,TRUE,Pagamentos!$C:$C,$C24,Pagamentos!$D:$D,K$2)</f>
        <v>0</v>
      </c>
      <c r="L24" s="32">
        <f ca="1">SUMIFS(Pagamentos!$E:$E,Pagamentos!$F:$F,TRUE,Pagamentos!$C:$C,$C24,Pagamentos!$D:$D,L$2)</f>
        <v>0</v>
      </c>
      <c r="M24" s="32">
        <f ca="1">SUMIFS(Pagamentos!$E:$E,Pagamentos!$F:$F,TRUE,Pagamentos!$C:$C,$C24,Pagamentos!$D:$D,M$2)</f>
        <v>0</v>
      </c>
      <c r="N24" s="32">
        <f ca="1">SUMIFS(Pagamentos!$E:$E,Pagamentos!$F:$F,TRUE,Pagamentos!$C:$C,$C24,Pagamentos!$D:$D,N$2)</f>
        <v>0</v>
      </c>
      <c r="O24" s="32">
        <f ca="1">SUMIFS(Pagamentos!$E:$E,Pagamentos!$F:$F,TRUE,Pagamentos!$C:$C,$C24,Pagamentos!$D:$D,O$2)</f>
        <v>0</v>
      </c>
      <c r="P24" s="32">
        <f ca="1">SUMIFS(Pagamentos!$E:$E,Pagamentos!$F:$F,TRUE,Pagamentos!$C:$C,$C24,Pagamentos!$D:$D,P$2)</f>
        <v>0</v>
      </c>
      <c r="Q24" s="33">
        <v>1</v>
      </c>
      <c r="R24" s="34">
        <f t="shared" ca="1" si="2"/>
        <v>-2</v>
      </c>
      <c r="S24" s="46" t="str">
        <f ca="1">IFERROR(__xludf.DUMMYFUNCTION("SPARKLINE(SUM(E24:P24),{""charttype"",""bar"";""max"",$S$2})"),"")</f>
        <v/>
      </c>
      <c r="T24" s="36"/>
    </row>
    <row r="25" spans="1:20" ht="16.2" outlineLevel="1">
      <c r="A25" s="37"/>
      <c r="B25" s="38" t="str">
        <f t="array" aca="1" ref="B25" ca="1">IFERROR(INDEX(#REF!,MATCH(C25,#REF!,0)),"")</f>
        <v/>
      </c>
      <c r="C25" s="39" t="str">
        <f ca="1">IFERROR(__xludf.DUMMYFUNCTION("""COMPUTED_VALUE"""),"Lourenço")</f>
        <v>Lourenço</v>
      </c>
      <c r="D25" s="39" t="str">
        <f ca="1">IFERROR(__xludf.DUMMYFUNCTION("""COMPUTED_VALUE"""),"Carlos Henrique Lourenço Gonçalves")</f>
        <v>Carlos Henrique Lourenço Gonçalves</v>
      </c>
      <c r="E25" s="40">
        <f ca="1">SUMIFS(Pagamentos!$E:$E,Pagamentos!$F:$F,TRUE,Pagamentos!$C:$C,$C25,Pagamentos!$D:$D,E$2)</f>
        <v>20</v>
      </c>
      <c r="F25" s="40">
        <f ca="1">SUMIFS(Pagamentos!$E:$E,Pagamentos!$F:$F,TRUE,Pagamentos!$C:$C,$C25,Pagamentos!$D:$D,F$2)</f>
        <v>20</v>
      </c>
      <c r="G25" s="40">
        <f ca="1">SUMIFS(Pagamentos!$E:$E,Pagamentos!$F:$F,TRUE,Pagamentos!$C:$C,$C25,Pagamentos!$D:$D,G$2)</f>
        <v>20</v>
      </c>
      <c r="H25" s="40">
        <f ca="1">SUMIFS(Pagamentos!$E:$E,Pagamentos!$F:$F,TRUE,Pagamentos!$C:$C,$C25,Pagamentos!$D:$D,H$2)</f>
        <v>20</v>
      </c>
      <c r="I25" s="40">
        <f ca="1">SUMIFS(Pagamentos!$E:$E,Pagamentos!$F:$F,TRUE,Pagamentos!$C:$C,$C25,Pagamentos!$D:$D,I$2)</f>
        <v>20</v>
      </c>
      <c r="J25" s="40">
        <f ca="1">SUMIFS(Pagamentos!$E:$E,Pagamentos!$F:$F,TRUE,Pagamentos!$C:$C,$C25,Pagamentos!$D:$D,J$2)</f>
        <v>20</v>
      </c>
      <c r="K25" s="40">
        <f ca="1">SUMIFS(Pagamentos!$E:$E,Pagamentos!$F:$F,TRUE,Pagamentos!$C:$C,$C25,Pagamentos!$D:$D,K$2)</f>
        <v>20</v>
      </c>
      <c r="L25" s="40">
        <f ca="1">SUMIFS(Pagamentos!$E:$E,Pagamentos!$F:$F,TRUE,Pagamentos!$C:$C,$C25,Pagamentos!$D:$D,L$2)</f>
        <v>0</v>
      </c>
      <c r="M25" s="40">
        <f ca="1">SUMIFS(Pagamentos!$E:$E,Pagamentos!$F:$F,TRUE,Pagamentos!$C:$C,$C25,Pagamentos!$D:$D,M$2)</f>
        <v>0</v>
      </c>
      <c r="N25" s="40">
        <f ca="1">SUMIFS(Pagamentos!$E:$E,Pagamentos!$F:$F,TRUE,Pagamentos!$C:$C,$C25,Pagamentos!$D:$D,N$2)</f>
        <v>0</v>
      </c>
      <c r="O25" s="40">
        <f ca="1">SUMIFS(Pagamentos!$E:$E,Pagamentos!$F:$F,TRUE,Pagamentos!$C:$C,$C25,Pagamentos!$D:$D,O$2)</f>
        <v>0</v>
      </c>
      <c r="P25" s="40">
        <f ca="1">SUMIFS(Pagamentos!$E:$E,Pagamentos!$F:$F,TRUE,Pagamentos!$C:$C,$C25,Pagamentos!$D:$D,P$2)</f>
        <v>0</v>
      </c>
      <c r="Q25" s="41">
        <v>-1</v>
      </c>
      <c r="R25" s="42">
        <f t="shared" ca="1" si="2"/>
        <v>-2</v>
      </c>
      <c r="S25" s="43" t="str">
        <f ca="1">IFERROR(__xludf.DUMMYFUNCTION("SPARKLINE(SUM(E25:P25),{""charttype"",""bar"";""max"",$S$2})"),"")</f>
        <v/>
      </c>
      <c r="T25" s="44"/>
    </row>
    <row r="26" spans="1:20" ht="16.2" outlineLevel="1">
      <c r="A26" s="24"/>
      <c r="B26" s="29" t="str">
        <f t="array" aca="1" ref="B26" ca="1">IFERROR(INDEX(#REF!,MATCH(C26,#REF!,0)),"")</f>
        <v/>
      </c>
      <c r="C26" s="31" t="str">
        <f ca="1">IFERROR(__xludf.DUMMYFUNCTION("""COMPUTED_VALUE"""),"Lucas")</f>
        <v>Lucas</v>
      </c>
      <c r="D26" s="31" t="str">
        <f ca="1">IFERROR(__xludf.DUMMYFUNCTION("""COMPUTED_VALUE"""),"Lucas Rodrigues Antônio ")</f>
        <v xml:space="preserve">Lucas Rodrigues Antônio </v>
      </c>
      <c r="E26" s="32">
        <f ca="1">SUMIFS(Pagamentos!$E:$E,Pagamentos!$F:$F,TRUE,Pagamentos!$C:$C,$C26,Pagamentos!$D:$D,E$2)</f>
        <v>0</v>
      </c>
      <c r="F26" s="32">
        <f ca="1">SUMIFS(Pagamentos!$E:$E,Pagamentos!$F:$F,TRUE,Pagamentos!$C:$C,$C26,Pagamentos!$D:$D,F$2)</f>
        <v>0</v>
      </c>
      <c r="G26" s="32">
        <f ca="1">SUMIFS(Pagamentos!$E:$E,Pagamentos!$F:$F,TRUE,Pagamentos!$C:$C,$C26,Pagamentos!$D:$D,G$2)</f>
        <v>100</v>
      </c>
      <c r="H26" s="32">
        <f ca="1">SUMIFS(Pagamentos!$E:$E,Pagamentos!$F:$F,TRUE,Pagamentos!$C:$C,$C26,Pagamentos!$D:$D,H$2)</f>
        <v>0</v>
      </c>
      <c r="I26" s="32">
        <f ca="1">SUMIFS(Pagamentos!$E:$E,Pagamentos!$F:$F,TRUE,Pagamentos!$C:$C,$C26,Pagamentos!$D:$D,I$2)</f>
        <v>0</v>
      </c>
      <c r="J26" s="32">
        <f ca="1">SUMIFS(Pagamentos!$E:$E,Pagamentos!$F:$F,TRUE,Pagamentos!$C:$C,$C26,Pagamentos!$D:$D,J$2)</f>
        <v>0</v>
      </c>
      <c r="K26" s="32">
        <f ca="1">SUMIFS(Pagamentos!$E:$E,Pagamentos!$F:$F,TRUE,Pagamentos!$C:$C,$C26,Pagamentos!$D:$D,K$2)</f>
        <v>0</v>
      </c>
      <c r="L26" s="32">
        <f ca="1">SUMIFS(Pagamentos!$E:$E,Pagamentos!$F:$F,TRUE,Pagamentos!$C:$C,$C26,Pagamentos!$D:$D,L$2)</f>
        <v>100</v>
      </c>
      <c r="M26" s="32">
        <f ca="1">SUMIFS(Pagamentos!$E:$E,Pagamentos!$F:$F,TRUE,Pagamentos!$C:$C,$C26,Pagamentos!$D:$D,M$2)</f>
        <v>0</v>
      </c>
      <c r="N26" s="32">
        <f ca="1">SUMIFS(Pagamentos!$E:$E,Pagamentos!$F:$F,TRUE,Pagamentos!$C:$C,$C26,Pagamentos!$D:$D,N$2)</f>
        <v>0</v>
      </c>
      <c r="O26" s="32">
        <f ca="1">SUMIFS(Pagamentos!$E:$E,Pagamentos!$F:$F,TRUE,Pagamentos!$C:$C,$C26,Pagamentos!$D:$D,O$2)</f>
        <v>0</v>
      </c>
      <c r="P26" s="32">
        <f ca="1">SUMIFS(Pagamentos!$E:$E,Pagamentos!$F:$F,TRUE,Pagamentos!$C:$C,$C26,Pagamentos!$D:$D,P$2)</f>
        <v>0</v>
      </c>
      <c r="Q26" s="33">
        <v>2</v>
      </c>
      <c r="R26" s="34">
        <f t="shared" ca="1" si="2"/>
        <v>4</v>
      </c>
      <c r="S26" s="46" t="str">
        <f ca="1">IFERROR(__xludf.DUMMYFUNCTION("SPARKLINE(SUM(E26:P26),{""charttype"",""bar"";""max"",$S$2})"),"")</f>
        <v/>
      </c>
      <c r="T26" s="36"/>
    </row>
    <row r="27" spans="1:20" ht="16.2" outlineLevel="1">
      <c r="A27" s="37"/>
      <c r="B27" s="38" t="str">
        <f t="array" aca="1" ref="B27" ca="1">IFERROR(INDEX(#REF!,MATCH(C27,#REF!,0)),"")</f>
        <v/>
      </c>
      <c r="C27" s="47" t="str">
        <f ca="1">IFERROR(__xludf.DUMMYFUNCTION("""COMPUTED_VALUE"""),"Mayara")</f>
        <v>Mayara</v>
      </c>
      <c r="D27" s="39" t="str">
        <f ca="1">IFERROR(__xludf.DUMMYFUNCTION("""COMPUTED_VALUE"""),"Mayara Vieira Soares")</f>
        <v>Mayara Vieira Soares</v>
      </c>
      <c r="E27" s="40">
        <f ca="1">SUMIFS(Pagamentos!$E:$E,Pagamentos!$F:$F,TRUE,Pagamentos!$C:$C,$C27,Pagamentos!$D:$D,E$2)</f>
        <v>0</v>
      </c>
      <c r="F27" s="40">
        <f ca="1">SUMIFS(Pagamentos!$E:$E,Pagamentos!$F:$F,TRUE,Pagamentos!$C:$C,$C27,Pagamentos!$D:$D,F$2)</f>
        <v>0</v>
      </c>
      <c r="G27" s="40">
        <f ca="1">SUMIFS(Pagamentos!$E:$E,Pagamentos!$F:$F,TRUE,Pagamentos!$C:$C,$C27,Pagamentos!$D:$D,G$2)</f>
        <v>120</v>
      </c>
      <c r="H27" s="40">
        <f ca="1">SUMIFS(Pagamentos!$E:$E,Pagamentos!$F:$F,TRUE,Pagamentos!$C:$C,$C27,Pagamentos!$D:$D,H$2)</f>
        <v>0</v>
      </c>
      <c r="I27" s="40">
        <f ca="1">SUMIFS(Pagamentos!$E:$E,Pagamentos!$F:$F,TRUE,Pagamentos!$C:$C,$C27,Pagamentos!$D:$D,I$2)</f>
        <v>0</v>
      </c>
      <c r="J27" s="40">
        <f ca="1">SUMIFS(Pagamentos!$E:$E,Pagamentos!$F:$F,TRUE,Pagamentos!$C:$C,$C27,Pagamentos!$D:$D,J$2)</f>
        <v>0</v>
      </c>
      <c r="K27" s="40">
        <f ca="1">SUMIFS(Pagamentos!$E:$E,Pagamentos!$F:$F,TRUE,Pagamentos!$C:$C,$C27,Pagamentos!$D:$D,K$2)</f>
        <v>0</v>
      </c>
      <c r="L27" s="40">
        <f ca="1">SUMIFS(Pagamentos!$E:$E,Pagamentos!$F:$F,TRUE,Pagamentos!$C:$C,$C27,Pagamentos!$D:$D,L$2)</f>
        <v>0</v>
      </c>
      <c r="M27" s="40">
        <f ca="1">SUMIFS(Pagamentos!$E:$E,Pagamentos!$F:$F,TRUE,Pagamentos!$C:$C,$C27,Pagamentos!$D:$D,M$2)</f>
        <v>0</v>
      </c>
      <c r="N27" s="40">
        <f ca="1">SUMIFS(Pagamentos!$E:$E,Pagamentos!$F:$F,TRUE,Pagamentos!$C:$C,$C27,Pagamentos!$D:$D,N$2)</f>
        <v>0</v>
      </c>
      <c r="O27" s="40">
        <f ca="1">SUMIFS(Pagamentos!$E:$E,Pagamentos!$F:$F,TRUE,Pagamentos!$C:$C,$C27,Pagamentos!$D:$D,O$2)</f>
        <v>0</v>
      </c>
      <c r="P27" s="40">
        <f ca="1">SUMIFS(Pagamentos!$E:$E,Pagamentos!$F:$F,TRUE,Pagamentos!$C:$C,$C27,Pagamentos!$D:$D,P$2)</f>
        <v>0</v>
      </c>
      <c r="Q27" s="41">
        <v>-1</v>
      </c>
      <c r="R27" s="42">
        <f t="shared" ca="1" si="2"/>
        <v>-3</v>
      </c>
      <c r="S27" s="43" t="str">
        <f ca="1">IFERROR(__xludf.DUMMYFUNCTION("SPARKLINE(SUM(E27:P27),{""charttype"",""bar"";""max"",$S$2})"),"")</f>
        <v/>
      </c>
      <c r="T27" s="44"/>
    </row>
    <row r="28" spans="1:20" ht="16.2" outlineLevel="1">
      <c r="A28" s="76"/>
      <c r="B28" s="29" t="str">
        <f t="array" aca="1" ref="B28" ca="1">IFERROR(INDEX(#REF!,MATCH(C28,#REF!,0)),"")</f>
        <v/>
      </c>
      <c r="C28" s="31" t="str">
        <f ca="1">IFERROR(__xludf.DUMMYFUNCTION("""COMPUTED_VALUE"""),"Mina")</f>
        <v>Mina</v>
      </c>
      <c r="D28" s="31" t="str">
        <f ca="1">IFERROR(__xludf.DUMMYFUNCTION("""COMPUTED_VALUE"""),"Kleber Pacheco Mina")</f>
        <v>Kleber Pacheco Mina</v>
      </c>
      <c r="E28" s="32">
        <f ca="1">SUMIFS(Pagamentos!$E:$E,Pagamentos!$F:$F,TRUE,Pagamentos!$C:$C,$C28,Pagamentos!$D:$D,E$2)</f>
        <v>0</v>
      </c>
      <c r="F28" s="32">
        <f ca="1">SUMIFS(Pagamentos!$E:$E,Pagamentos!$F:$F,TRUE,Pagamentos!$C:$C,$C28,Pagamentos!$D:$D,F$2)</f>
        <v>0</v>
      </c>
      <c r="G28" s="32">
        <f ca="1">SUMIFS(Pagamentos!$E:$E,Pagamentos!$F:$F,TRUE,Pagamentos!$C:$C,$C28,Pagamentos!$D:$D,G$2)</f>
        <v>60</v>
      </c>
      <c r="H28" s="32">
        <f ca="1">SUMIFS(Pagamentos!$E:$E,Pagamentos!$F:$F,TRUE,Pagamentos!$C:$C,$C28,Pagamentos!$D:$D,H$2)</f>
        <v>0</v>
      </c>
      <c r="I28" s="32">
        <f ca="1">SUMIFS(Pagamentos!$E:$E,Pagamentos!$F:$F,TRUE,Pagamentos!$C:$C,$C28,Pagamentos!$D:$D,I$2)</f>
        <v>0</v>
      </c>
      <c r="J28" s="32">
        <f ca="1">SUMIFS(Pagamentos!$E:$E,Pagamentos!$F:$F,TRUE,Pagamentos!$C:$C,$C28,Pagamentos!$D:$D,J$2)</f>
        <v>80</v>
      </c>
      <c r="K28" s="32">
        <f ca="1">SUMIFS(Pagamentos!$E:$E,Pagamentos!$F:$F,TRUE,Pagamentos!$C:$C,$C28,Pagamentos!$D:$D,K$2)</f>
        <v>0</v>
      </c>
      <c r="L28" s="32">
        <f ca="1">SUMIFS(Pagamentos!$E:$E,Pagamentos!$F:$F,TRUE,Pagamentos!$C:$C,$C28,Pagamentos!$D:$D,L$2)</f>
        <v>0</v>
      </c>
      <c r="M28" s="32">
        <f ca="1">SUMIFS(Pagamentos!$E:$E,Pagamentos!$F:$F,TRUE,Pagamentos!$C:$C,$C28,Pagamentos!$D:$D,M$2)</f>
        <v>0</v>
      </c>
      <c r="N28" s="32">
        <f ca="1">SUMIFS(Pagamentos!$E:$E,Pagamentos!$F:$F,TRUE,Pagamentos!$C:$C,$C28,Pagamentos!$D:$D,N$2)</f>
        <v>0</v>
      </c>
      <c r="O28" s="32">
        <f ca="1">SUMIFS(Pagamentos!$E:$E,Pagamentos!$F:$F,TRUE,Pagamentos!$C:$C,$C28,Pagamentos!$D:$D,O$2)</f>
        <v>0</v>
      </c>
      <c r="P28" s="32">
        <f ca="1">SUMIFS(Pagamentos!$E:$E,Pagamentos!$F:$F,TRUE,Pagamentos!$C:$C,$C28,Pagamentos!$D:$D,P$2)</f>
        <v>0</v>
      </c>
      <c r="Q28" s="33">
        <v>0</v>
      </c>
      <c r="R28" s="34">
        <f t="shared" ca="1" si="2"/>
        <v>-1</v>
      </c>
      <c r="S28" s="46" t="str">
        <f ca="1">IFERROR(__xludf.DUMMYFUNCTION("SPARKLINE(SUM(E28:P28),{""charttype"",""bar"";""max"",$S$2})"),"")</f>
        <v/>
      </c>
      <c r="T28" s="77"/>
    </row>
    <row r="29" spans="1:20" ht="16.2" outlineLevel="1">
      <c r="A29" s="37"/>
      <c r="B29" s="38" t="str">
        <f t="array" aca="1" ref="B29" ca="1">IFERROR(INDEX(#REF!,MATCH(C29,#REF!,0)),"")</f>
        <v/>
      </c>
      <c r="C29" s="39" t="str">
        <f ca="1">IFERROR(__xludf.DUMMYFUNCTION("""COMPUTED_VALUE"""),"Mithel")</f>
        <v>Mithel</v>
      </c>
      <c r="D29" s="39" t="str">
        <f ca="1">IFERROR(__xludf.DUMMYFUNCTION("""COMPUTED_VALUE"""),"Mithel Evergisto de Lima")</f>
        <v>Mithel Evergisto de Lima</v>
      </c>
      <c r="E29" s="40">
        <f ca="1">SUMIFS(Pagamentos!$E:$E,Pagamentos!$F:$F,TRUE,Pagamentos!$C:$C,$C29,Pagamentos!$D:$D,E$2)</f>
        <v>0</v>
      </c>
      <c r="F29" s="40">
        <f ca="1">SUMIFS(Pagamentos!$E:$E,Pagamentos!$F:$F,TRUE,Pagamentos!$C:$C,$C29,Pagamentos!$D:$D,F$2)</f>
        <v>0</v>
      </c>
      <c r="G29" s="40">
        <f ca="1">SUMIFS(Pagamentos!$E:$E,Pagamentos!$F:$F,TRUE,Pagamentos!$C:$C,$C29,Pagamentos!$D:$D,G$2)</f>
        <v>100</v>
      </c>
      <c r="H29" s="40">
        <f ca="1">SUMIFS(Pagamentos!$E:$E,Pagamentos!$F:$F,TRUE,Pagamentos!$C:$C,$C29,Pagamentos!$D:$D,H$2)</f>
        <v>0</v>
      </c>
      <c r="I29" s="40">
        <f ca="1">SUMIFS(Pagamentos!$E:$E,Pagamentos!$F:$F,TRUE,Pagamentos!$C:$C,$C29,Pagamentos!$D:$D,I$2)</f>
        <v>0</v>
      </c>
      <c r="J29" s="40">
        <f ca="1">SUMIFS(Pagamentos!$E:$E,Pagamentos!$F:$F,TRUE,Pagamentos!$C:$C,$C29,Pagamentos!$D:$D,J$2)</f>
        <v>0</v>
      </c>
      <c r="K29" s="40">
        <f ca="1">SUMIFS(Pagamentos!$E:$E,Pagamentos!$F:$F,TRUE,Pagamentos!$C:$C,$C29,Pagamentos!$D:$D,K$2)</f>
        <v>0</v>
      </c>
      <c r="L29" s="40">
        <f ca="1">SUMIFS(Pagamentos!$E:$E,Pagamentos!$F:$F,TRUE,Pagamentos!$C:$C,$C29,Pagamentos!$D:$D,L$2)</f>
        <v>0</v>
      </c>
      <c r="M29" s="40">
        <f ca="1">SUMIFS(Pagamentos!$E:$E,Pagamentos!$F:$F,TRUE,Pagamentos!$C:$C,$C29,Pagamentos!$D:$D,M$2)</f>
        <v>0</v>
      </c>
      <c r="N29" s="40">
        <f ca="1">SUMIFS(Pagamentos!$E:$E,Pagamentos!$F:$F,TRUE,Pagamentos!$C:$C,$C29,Pagamentos!$D:$D,N$2)</f>
        <v>0</v>
      </c>
      <c r="O29" s="40">
        <f ca="1">SUMIFS(Pagamentos!$E:$E,Pagamentos!$F:$F,TRUE,Pagamentos!$C:$C,$C29,Pagamentos!$D:$D,O$2)</f>
        <v>0</v>
      </c>
      <c r="P29" s="40">
        <f ca="1">SUMIFS(Pagamentos!$E:$E,Pagamentos!$F:$F,TRUE,Pagamentos!$C:$C,$C29,Pagamentos!$D:$D,P$2)</f>
        <v>0</v>
      </c>
      <c r="Q29" s="41">
        <v>0</v>
      </c>
      <c r="R29" s="42">
        <f t="shared" ca="1" si="2"/>
        <v>-3</v>
      </c>
      <c r="S29" s="43" t="str">
        <f ca="1">IFERROR(__xludf.DUMMYFUNCTION("SPARKLINE(SUM(E29:P29),{""charttype"",""bar"";""max"",$S$2})"),"")</f>
        <v/>
      </c>
      <c r="T29" s="44"/>
    </row>
    <row r="30" spans="1:20" ht="16.2" outlineLevel="1">
      <c r="A30" s="24"/>
      <c r="B30" s="29" t="str">
        <f t="array" aca="1" ref="B30" ca="1">IFERROR(INDEX(#REF!,MATCH(C30,#REF!,0)),"")</f>
        <v/>
      </c>
      <c r="C30" s="31" t="str">
        <f ca="1">IFERROR(__xludf.DUMMYFUNCTION("""COMPUTED_VALUE"""),"Natayan")</f>
        <v>Natayan</v>
      </c>
      <c r="D30" s="31" t="str">
        <f ca="1">IFERROR(__xludf.DUMMYFUNCTION("""COMPUTED_VALUE"""),"Raphael Natayan Nilsen")</f>
        <v>Raphael Natayan Nilsen</v>
      </c>
      <c r="E30" s="32">
        <f ca="1">SUMIFS(Pagamentos!$E:$E,Pagamentos!$F:$F,TRUE,Pagamentos!$C:$C,$C30,Pagamentos!$D:$D,E$2)</f>
        <v>40</v>
      </c>
      <c r="F30" s="32">
        <f ca="1">SUMIFS(Pagamentos!$E:$E,Pagamentos!$F:$F,TRUE,Pagamentos!$C:$C,$C30,Pagamentos!$D:$D,F$2)</f>
        <v>0</v>
      </c>
      <c r="G30" s="32">
        <f ca="1">SUMIFS(Pagamentos!$E:$E,Pagamentos!$F:$F,TRUE,Pagamentos!$C:$C,$C30,Pagamentos!$D:$D,G$2)</f>
        <v>20</v>
      </c>
      <c r="H30" s="32">
        <f ca="1">SUMIFS(Pagamentos!$E:$E,Pagamentos!$F:$F,TRUE,Pagamentos!$C:$C,$C30,Pagamentos!$D:$D,H$2)</f>
        <v>20</v>
      </c>
      <c r="I30" s="32">
        <f ca="1">SUMIFS(Pagamentos!$E:$E,Pagamentos!$F:$F,TRUE,Pagamentos!$C:$C,$C30,Pagamentos!$D:$D,I$2)</f>
        <v>20</v>
      </c>
      <c r="J30" s="32">
        <f ca="1">SUMIFS(Pagamentos!$E:$E,Pagamentos!$F:$F,TRUE,Pagamentos!$C:$C,$C30,Pagamentos!$D:$D,J$2)</f>
        <v>20</v>
      </c>
      <c r="K30" s="32">
        <f ca="1">SUMIFS(Pagamentos!$E:$E,Pagamentos!$F:$F,TRUE,Pagamentos!$C:$C,$C30,Pagamentos!$D:$D,K$2)</f>
        <v>20</v>
      </c>
      <c r="L30" s="32">
        <f ca="1">SUMIFS(Pagamentos!$E:$E,Pagamentos!$F:$F,TRUE,Pagamentos!$C:$C,$C30,Pagamentos!$D:$D,L$2)</f>
        <v>0</v>
      </c>
      <c r="M30" s="32">
        <f ca="1">SUMIFS(Pagamentos!$E:$E,Pagamentos!$F:$F,TRUE,Pagamentos!$C:$C,$C30,Pagamentos!$D:$D,M$2)</f>
        <v>0</v>
      </c>
      <c r="N30" s="32">
        <f ca="1">SUMIFS(Pagamentos!$E:$E,Pagamentos!$F:$F,TRUE,Pagamentos!$C:$C,$C30,Pagamentos!$D:$D,N$2)</f>
        <v>0</v>
      </c>
      <c r="O30" s="32">
        <f ca="1">SUMIFS(Pagamentos!$E:$E,Pagamentos!$F:$F,TRUE,Pagamentos!$C:$C,$C30,Pagamentos!$D:$D,O$2)</f>
        <v>0</v>
      </c>
      <c r="P30" s="32">
        <f ca="1">SUMIFS(Pagamentos!$E:$E,Pagamentos!$F:$F,TRUE,Pagamentos!$C:$C,$C30,Pagamentos!$D:$D,P$2)</f>
        <v>0</v>
      </c>
      <c r="Q30" s="33">
        <v>0</v>
      </c>
      <c r="R30" s="34">
        <f t="shared" ca="1" si="2"/>
        <v>-1</v>
      </c>
      <c r="S30" s="46" t="str">
        <f ca="1">IFERROR(__xludf.DUMMYFUNCTION("SPARKLINE(SUM(E30:P30),{""charttype"",""bar"";""max"",$S$2})"),"")</f>
        <v/>
      </c>
      <c r="T30" s="36"/>
    </row>
    <row r="31" spans="1:20" ht="16.2" outlineLevel="1">
      <c r="A31" s="37"/>
      <c r="B31" s="38" t="str">
        <f t="array" aca="1" ref="B31" ca="1">IFERROR(INDEX(#REF!,MATCH(C31,#REF!,0)),"")</f>
        <v/>
      </c>
      <c r="C31" s="39" t="str">
        <f ca="1">IFERROR(__xludf.DUMMYFUNCTION("""COMPUTED_VALUE"""),"Nery")</f>
        <v>Nery</v>
      </c>
      <c r="D31" s="39" t="str">
        <f ca="1">IFERROR(__xludf.DUMMYFUNCTION("""COMPUTED_VALUE"""),"Gabriel Nery Cristiano ")</f>
        <v xml:space="preserve">Gabriel Nery Cristiano </v>
      </c>
      <c r="E31" s="40">
        <f ca="1">SUMIFS(Pagamentos!$E:$E,Pagamentos!$F:$F,TRUE,Pagamentos!$C:$C,$C31,Pagamentos!$D:$D,E$2)</f>
        <v>0</v>
      </c>
      <c r="F31" s="40">
        <f ca="1">SUMIFS(Pagamentos!$E:$E,Pagamentos!$F:$F,TRUE,Pagamentos!$C:$C,$C31,Pagamentos!$D:$D,F$2)</f>
        <v>0</v>
      </c>
      <c r="G31" s="40">
        <f ca="1">SUMIFS(Pagamentos!$E:$E,Pagamentos!$F:$F,TRUE,Pagamentos!$C:$C,$C31,Pagamentos!$D:$D,G$2)</f>
        <v>0</v>
      </c>
      <c r="H31" s="40">
        <f ca="1">SUMIFS(Pagamentos!$E:$E,Pagamentos!$F:$F,TRUE,Pagamentos!$C:$C,$C31,Pagamentos!$D:$D,H$2)</f>
        <v>0</v>
      </c>
      <c r="I31" s="40">
        <f ca="1">SUMIFS(Pagamentos!$E:$E,Pagamentos!$F:$F,TRUE,Pagamentos!$C:$C,$C31,Pagamentos!$D:$D,I$2)</f>
        <v>80</v>
      </c>
      <c r="J31" s="40">
        <f ca="1">SUMIFS(Pagamentos!$E:$E,Pagamentos!$F:$F,TRUE,Pagamentos!$C:$C,$C31,Pagamentos!$D:$D,J$2)</f>
        <v>40</v>
      </c>
      <c r="K31" s="40">
        <f ca="1">SUMIFS(Pagamentos!$E:$E,Pagamentos!$F:$F,TRUE,Pagamentos!$C:$C,$C31,Pagamentos!$D:$D,K$2)</f>
        <v>20</v>
      </c>
      <c r="L31" s="40">
        <f ca="1">SUMIFS(Pagamentos!$E:$E,Pagamentos!$F:$F,TRUE,Pagamentos!$C:$C,$C31,Pagamentos!$D:$D,L$2)</f>
        <v>0</v>
      </c>
      <c r="M31" s="40">
        <f ca="1">SUMIFS(Pagamentos!$E:$E,Pagamentos!$F:$F,TRUE,Pagamentos!$C:$C,$C31,Pagamentos!$D:$D,M$2)</f>
        <v>0</v>
      </c>
      <c r="N31" s="40">
        <f ca="1">SUMIFS(Pagamentos!$E:$E,Pagamentos!$F:$F,TRUE,Pagamentos!$C:$C,$C31,Pagamentos!$D:$D,N$2)</f>
        <v>0</v>
      </c>
      <c r="O31" s="40">
        <f ca="1">SUMIFS(Pagamentos!$E:$E,Pagamentos!$F:$F,TRUE,Pagamentos!$C:$C,$C31,Pagamentos!$D:$D,O$2)</f>
        <v>0</v>
      </c>
      <c r="P31" s="40">
        <f ca="1">SUMIFS(Pagamentos!$E:$E,Pagamentos!$F:$F,TRUE,Pagamentos!$C:$C,$C31,Pagamentos!$D:$D,P$2)</f>
        <v>0</v>
      </c>
      <c r="Q31" s="41">
        <v>0</v>
      </c>
      <c r="R31" s="42">
        <f t="shared" ca="1" si="2"/>
        <v>-1</v>
      </c>
      <c r="S31" s="43" t="str">
        <f ca="1">IFERROR(__xludf.DUMMYFUNCTION("SPARKLINE(SUM(E31:P31),{""charttype"",""bar"";""max"",$S$2})"),"")</f>
        <v/>
      </c>
      <c r="T31" s="44"/>
    </row>
    <row r="32" spans="1:20" ht="16.2" outlineLevel="1">
      <c r="A32" s="24"/>
      <c r="B32" s="29" t="str">
        <f t="array" aca="1" ref="B32" ca="1">IFERROR(INDEX(#REF!,MATCH(C32,#REF!,0)),"")</f>
        <v/>
      </c>
      <c r="C32" s="31" t="str">
        <f ca="1">IFERROR(__xludf.DUMMYFUNCTION("""COMPUTED_VALUE"""),"Oliveira")</f>
        <v>Oliveira</v>
      </c>
      <c r="D32" s="31" t="str">
        <f ca="1">IFERROR(__xludf.DUMMYFUNCTION("""COMPUTED_VALUE"""),"Marcelo luiz de Oliveira")</f>
        <v>Marcelo luiz de Oliveira</v>
      </c>
      <c r="E32" s="32">
        <f ca="1">SUMIFS(Pagamentos!$E:$E,Pagamentos!$F:$F,TRUE,Pagamentos!$C:$C,$C32,Pagamentos!$D:$D,E$2)</f>
        <v>0</v>
      </c>
      <c r="F32" s="32">
        <f ca="1">SUMIFS(Pagamentos!$E:$E,Pagamentos!$F:$F,TRUE,Pagamentos!$C:$C,$C32,Pagamentos!$D:$D,F$2)</f>
        <v>0</v>
      </c>
      <c r="G32" s="32">
        <f ca="1">SUMIFS(Pagamentos!$E:$E,Pagamentos!$F:$F,TRUE,Pagamentos!$C:$C,$C32,Pagamentos!$D:$D,G$2)</f>
        <v>40</v>
      </c>
      <c r="H32" s="32">
        <f ca="1">SUMIFS(Pagamentos!$E:$E,Pagamentos!$F:$F,TRUE,Pagamentos!$C:$C,$C32,Pagamentos!$D:$D,H$2)</f>
        <v>0</v>
      </c>
      <c r="I32" s="32">
        <f ca="1">SUMIFS(Pagamentos!$E:$E,Pagamentos!$F:$F,TRUE,Pagamentos!$C:$C,$C32,Pagamentos!$D:$D,I$2)</f>
        <v>80</v>
      </c>
      <c r="J32" s="32">
        <f ca="1">SUMIFS(Pagamentos!$E:$E,Pagamentos!$F:$F,TRUE,Pagamentos!$C:$C,$C32,Pagamentos!$D:$D,J$2)</f>
        <v>0</v>
      </c>
      <c r="K32" s="32">
        <f ca="1">SUMIFS(Pagamentos!$E:$E,Pagamentos!$F:$F,TRUE,Pagamentos!$C:$C,$C32,Pagamentos!$D:$D,K$2)</f>
        <v>20</v>
      </c>
      <c r="L32" s="32">
        <f ca="1">SUMIFS(Pagamentos!$E:$E,Pagamentos!$F:$F,TRUE,Pagamentos!$C:$C,$C32,Pagamentos!$D:$D,L$2)</f>
        <v>0</v>
      </c>
      <c r="M32" s="32">
        <f ca="1">SUMIFS(Pagamentos!$E:$E,Pagamentos!$F:$F,TRUE,Pagamentos!$C:$C,$C32,Pagamentos!$D:$D,M$2)</f>
        <v>0</v>
      </c>
      <c r="N32" s="32">
        <f ca="1">SUMIFS(Pagamentos!$E:$E,Pagamentos!$F:$F,TRUE,Pagamentos!$C:$C,$C32,Pagamentos!$D:$D,N$2)</f>
        <v>0</v>
      </c>
      <c r="O32" s="32">
        <f ca="1">SUMIFS(Pagamentos!$E:$E,Pagamentos!$F:$F,TRUE,Pagamentos!$C:$C,$C32,Pagamentos!$D:$D,O$2)</f>
        <v>0</v>
      </c>
      <c r="P32" s="32">
        <f ca="1">SUMIFS(Pagamentos!$E:$E,Pagamentos!$F:$F,TRUE,Pagamentos!$C:$C,$C32,Pagamentos!$D:$D,P$2)</f>
        <v>0</v>
      </c>
      <c r="Q32" s="33">
        <v>-1</v>
      </c>
      <c r="R32" s="34">
        <f t="shared" ca="1" si="2"/>
        <v>-2</v>
      </c>
      <c r="S32" s="46" t="str">
        <f ca="1">IFERROR(__xludf.DUMMYFUNCTION("SPARKLINE(SUM(E32:P32),{""charttype"",""bar"";""max"",$S$2})"),"")</f>
        <v/>
      </c>
      <c r="T32" s="36"/>
    </row>
    <row r="33" spans="1:20" ht="16.2" outlineLevel="1">
      <c r="A33" s="37"/>
      <c r="B33" s="38" t="str">
        <f t="array" aca="1" ref="B33" ca="1">IFERROR(INDEX(#REF!,MATCH(C33,#REF!,0)),"")</f>
        <v/>
      </c>
      <c r="C33" s="39" t="str">
        <f ca="1">IFERROR(__xludf.DUMMYFUNCTION("""COMPUTED_VALUE"""),"Ozol")</f>
        <v>Ozol</v>
      </c>
      <c r="D33" s="39" t="str">
        <f ca="1">IFERROR(__xludf.DUMMYFUNCTION("""COMPUTED_VALUE"""),"Guilherme Ozol de Assunção ")</f>
        <v xml:space="preserve">Guilherme Ozol de Assunção </v>
      </c>
      <c r="E33" s="40">
        <f ca="1">SUMIFS(Pagamentos!$E:$E,Pagamentos!$F:$F,TRUE,Pagamentos!$C:$C,$C33,Pagamentos!$D:$D,E$2)</f>
        <v>0</v>
      </c>
      <c r="F33" s="40">
        <f ca="1">SUMIFS(Pagamentos!$E:$E,Pagamentos!$F:$F,TRUE,Pagamentos!$C:$C,$C33,Pagamentos!$D:$D,F$2)</f>
        <v>0</v>
      </c>
      <c r="G33" s="40">
        <f ca="1">SUMIFS(Pagamentos!$E:$E,Pagamentos!$F:$F,TRUE,Pagamentos!$C:$C,$C33,Pagamentos!$D:$D,G$2)</f>
        <v>60</v>
      </c>
      <c r="H33" s="40">
        <f ca="1">SUMIFS(Pagamentos!$E:$E,Pagamentos!$F:$F,TRUE,Pagamentos!$C:$C,$C33,Pagamentos!$D:$D,H$2)</f>
        <v>0</v>
      </c>
      <c r="I33" s="40">
        <f ca="1">SUMIFS(Pagamentos!$E:$E,Pagamentos!$F:$F,TRUE,Pagamentos!$C:$C,$C33,Pagamentos!$D:$D,I$2)</f>
        <v>0</v>
      </c>
      <c r="J33" s="40">
        <f ca="1">SUMIFS(Pagamentos!$E:$E,Pagamentos!$F:$F,TRUE,Pagamentos!$C:$C,$C33,Pagamentos!$D:$D,J$2)</f>
        <v>0</v>
      </c>
      <c r="K33" s="40">
        <f ca="1">SUMIFS(Pagamentos!$E:$E,Pagamentos!$F:$F,TRUE,Pagamentos!$C:$C,$C33,Pagamentos!$D:$D,K$2)</f>
        <v>0</v>
      </c>
      <c r="L33" s="40">
        <f ca="1">SUMIFS(Pagamentos!$E:$E,Pagamentos!$F:$F,TRUE,Pagamentos!$C:$C,$C33,Pagamentos!$D:$D,L$2)</f>
        <v>0</v>
      </c>
      <c r="M33" s="40">
        <f ca="1">SUMIFS(Pagamentos!$E:$E,Pagamentos!$F:$F,TRUE,Pagamentos!$C:$C,$C33,Pagamentos!$D:$D,M$2)</f>
        <v>0</v>
      </c>
      <c r="N33" s="40">
        <f ca="1">SUMIFS(Pagamentos!$E:$E,Pagamentos!$F:$F,TRUE,Pagamentos!$C:$C,$C33,Pagamentos!$D:$D,N$2)</f>
        <v>0</v>
      </c>
      <c r="O33" s="40">
        <f ca="1">SUMIFS(Pagamentos!$E:$E,Pagamentos!$F:$F,TRUE,Pagamentos!$C:$C,$C33,Pagamentos!$D:$D,O$2)</f>
        <v>0</v>
      </c>
      <c r="P33" s="40">
        <f ca="1">SUMIFS(Pagamentos!$E:$E,Pagamentos!$F:$F,TRUE,Pagamentos!$C:$C,$C33,Pagamentos!$D:$D,P$2)</f>
        <v>0</v>
      </c>
      <c r="Q33" s="41">
        <v>0</v>
      </c>
      <c r="R33" s="42">
        <f t="shared" ca="1" si="2"/>
        <v>-5</v>
      </c>
      <c r="S33" s="43" t="str">
        <f ca="1">IFERROR(__xludf.DUMMYFUNCTION("SPARKLINE(SUM(E33:P33),{""charttype"",""bar"";""max"",$S$2})"),"")</f>
        <v/>
      </c>
      <c r="T33" s="44"/>
    </row>
    <row r="34" spans="1:20" ht="16.2" outlineLevel="1">
      <c r="A34" s="24"/>
      <c r="B34" s="29" t="str">
        <f t="array" aca="1" ref="B34" ca="1">IFERROR(INDEX(#REF!,MATCH(C34,#REF!,0)),"")</f>
        <v/>
      </c>
      <c r="C34" s="31" t="str">
        <f ca="1">IFERROR(__xludf.DUMMYFUNCTION("""COMPUTED_VALUE"""),"Pereira")</f>
        <v>Pereira</v>
      </c>
      <c r="D34" s="31" t="str">
        <f ca="1">IFERROR(__xludf.DUMMYFUNCTION("""COMPUTED_VALUE"""),"Emerson Pereira")</f>
        <v>Emerson Pereira</v>
      </c>
      <c r="E34" s="32">
        <f ca="1">SUMIFS(Pagamentos!$E:$E,Pagamentos!$F:$F,TRUE,Pagamentos!$C:$C,$C34,Pagamentos!$D:$D,E$2)</f>
        <v>0</v>
      </c>
      <c r="F34" s="32">
        <f ca="1">SUMIFS(Pagamentos!$E:$E,Pagamentos!$F:$F,TRUE,Pagamentos!$C:$C,$C34,Pagamentos!$D:$D,F$2)</f>
        <v>80</v>
      </c>
      <c r="G34" s="32">
        <f ca="1">SUMIFS(Pagamentos!$E:$E,Pagamentos!$F:$F,TRUE,Pagamentos!$C:$C,$C34,Pagamentos!$D:$D,G$2)</f>
        <v>0</v>
      </c>
      <c r="H34" s="32">
        <f ca="1">SUMIFS(Pagamentos!$E:$E,Pagamentos!$F:$F,TRUE,Pagamentos!$C:$C,$C34,Pagamentos!$D:$D,H$2)</f>
        <v>0</v>
      </c>
      <c r="I34" s="32">
        <f ca="1">SUMIFS(Pagamentos!$E:$E,Pagamentos!$F:$F,TRUE,Pagamentos!$C:$C,$C34,Pagamentos!$D:$D,I$2)</f>
        <v>0</v>
      </c>
      <c r="J34" s="32">
        <f ca="1">SUMIFS(Pagamentos!$E:$E,Pagamentos!$F:$F,TRUE,Pagamentos!$C:$C,$C34,Pagamentos!$D:$D,J$2)</f>
        <v>0</v>
      </c>
      <c r="K34" s="32">
        <f ca="1">SUMIFS(Pagamentos!$E:$E,Pagamentos!$F:$F,TRUE,Pagamentos!$C:$C,$C34,Pagamentos!$D:$D,K$2)</f>
        <v>180</v>
      </c>
      <c r="L34" s="32">
        <f ca="1">SUMIFS(Pagamentos!$E:$E,Pagamentos!$F:$F,TRUE,Pagamentos!$C:$C,$C34,Pagamentos!$D:$D,L$2)</f>
        <v>0</v>
      </c>
      <c r="M34" s="32">
        <f ca="1">SUMIFS(Pagamentos!$E:$E,Pagamentos!$F:$F,TRUE,Pagamentos!$C:$C,$C34,Pagamentos!$D:$D,M$2)</f>
        <v>0</v>
      </c>
      <c r="N34" s="32">
        <f ca="1">SUMIFS(Pagamentos!$E:$E,Pagamentos!$F:$F,TRUE,Pagamentos!$C:$C,$C34,Pagamentos!$D:$D,N$2)</f>
        <v>0</v>
      </c>
      <c r="O34" s="32">
        <f ca="1">SUMIFS(Pagamentos!$E:$E,Pagamentos!$F:$F,TRUE,Pagamentos!$C:$C,$C34,Pagamentos!$D:$D,O$2)</f>
        <v>0</v>
      </c>
      <c r="P34" s="32">
        <f ca="1">SUMIFS(Pagamentos!$E:$E,Pagamentos!$F:$F,TRUE,Pagamentos!$C:$C,$C34,Pagamentos!$D:$D,P$2)</f>
        <v>0</v>
      </c>
      <c r="Q34" s="33">
        <v>0</v>
      </c>
      <c r="R34" s="34">
        <f t="shared" ca="1" si="2"/>
        <v>5</v>
      </c>
      <c r="S34" s="46" t="str">
        <f ca="1">IFERROR(__xludf.DUMMYFUNCTION("SPARKLINE(SUM(E34:P34),{""charttype"",""bar"";""max"",$S$2})"),"")</f>
        <v/>
      </c>
      <c r="T34" s="36"/>
    </row>
    <row r="35" spans="1:20" ht="16.2" outlineLevel="1">
      <c r="A35" s="37"/>
      <c r="B35" s="38" t="str">
        <f t="array" aca="1" ref="B35" ca="1">IFERROR(INDEX(#REF!,MATCH(C35,#REF!,0)),"")</f>
        <v/>
      </c>
      <c r="C35" s="39" t="str">
        <f ca="1">IFERROR(__xludf.DUMMYFUNCTION("""COMPUTED_VALUE"""),"Ravache")</f>
        <v>Ravache</v>
      </c>
      <c r="D35" s="39" t="str">
        <f ca="1">IFERROR(__xludf.DUMMYFUNCTION("""COMPUTED_VALUE"""),"Caio Passold Ravache")</f>
        <v>Caio Passold Ravache</v>
      </c>
      <c r="E35" s="40">
        <f ca="1">SUMIFS(Pagamentos!$E:$E,Pagamentos!$F:$F,TRUE,Pagamentos!$C:$C,$C35,Pagamentos!$D:$D,E$2)</f>
        <v>0</v>
      </c>
      <c r="F35" s="40">
        <f ca="1">SUMIFS(Pagamentos!$E:$E,Pagamentos!$F:$F,TRUE,Pagamentos!$C:$C,$C35,Pagamentos!$D:$D,F$2)</f>
        <v>0</v>
      </c>
      <c r="G35" s="40">
        <f ca="1">SUMIFS(Pagamentos!$E:$E,Pagamentos!$F:$F,TRUE,Pagamentos!$C:$C,$C35,Pagamentos!$D:$D,G$2)</f>
        <v>0</v>
      </c>
      <c r="H35" s="40">
        <f ca="1">SUMIFS(Pagamentos!$E:$E,Pagamentos!$F:$F,TRUE,Pagamentos!$C:$C,$C35,Pagamentos!$D:$D,H$2)</f>
        <v>0</v>
      </c>
      <c r="I35" s="40">
        <f ca="1">SUMIFS(Pagamentos!$E:$E,Pagamentos!$F:$F,TRUE,Pagamentos!$C:$C,$C35,Pagamentos!$D:$D,I$2)</f>
        <v>0</v>
      </c>
      <c r="J35" s="40">
        <f ca="1">SUMIFS(Pagamentos!$E:$E,Pagamentos!$F:$F,TRUE,Pagamentos!$C:$C,$C35,Pagamentos!$D:$D,J$2)</f>
        <v>0</v>
      </c>
      <c r="K35" s="40">
        <f ca="1">SUMIFS(Pagamentos!$E:$E,Pagamentos!$F:$F,TRUE,Pagamentos!$C:$C,$C35,Pagamentos!$D:$D,K$2)</f>
        <v>0</v>
      </c>
      <c r="L35" s="40">
        <f ca="1">SUMIFS(Pagamentos!$E:$E,Pagamentos!$F:$F,TRUE,Pagamentos!$C:$C,$C35,Pagamentos!$D:$D,L$2)</f>
        <v>0</v>
      </c>
      <c r="M35" s="40">
        <f ca="1">SUMIFS(Pagamentos!$E:$E,Pagamentos!$F:$F,TRUE,Pagamentos!$C:$C,$C35,Pagamentos!$D:$D,M$2)</f>
        <v>0</v>
      </c>
      <c r="N35" s="40">
        <f ca="1">SUMIFS(Pagamentos!$E:$E,Pagamentos!$F:$F,TRUE,Pagamentos!$C:$C,$C35,Pagamentos!$D:$D,N$2)</f>
        <v>0</v>
      </c>
      <c r="O35" s="40">
        <f ca="1">SUMIFS(Pagamentos!$E:$E,Pagamentos!$F:$F,TRUE,Pagamentos!$C:$C,$C35,Pagamentos!$D:$D,O$2)</f>
        <v>0</v>
      </c>
      <c r="P35" s="40">
        <f ca="1">SUMIFS(Pagamentos!$E:$E,Pagamentos!$F:$F,TRUE,Pagamentos!$C:$C,$C35,Pagamentos!$D:$D,P$2)</f>
        <v>0</v>
      </c>
      <c r="Q35" s="41">
        <v>0</v>
      </c>
      <c r="R35" s="42">
        <f t="shared" ca="1" si="2"/>
        <v>-8</v>
      </c>
      <c r="S35" s="43" t="str">
        <f ca="1">IFERROR(__xludf.DUMMYFUNCTION("SPARKLINE(SUM(E35:P35),{""charttype"",""bar"";""max"",$S$2})"),"")</f>
        <v/>
      </c>
      <c r="T35" s="44"/>
    </row>
    <row r="36" spans="1:20" ht="16.2" outlineLevel="1">
      <c r="A36" s="93"/>
      <c r="B36" s="29" t="str">
        <f t="array" aca="1" ref="B36" ca="1">IFERROR(INDEX(#REF!,MATCH(C36,#REF!,0)),"")</f>
        <v/>
      </c>
      <c r="C36" s="31" t="str">
        <f ca="1">IFERROR(__xludf.DUMMYFUNCTION("""COMPUTED_VALUE"""),"Santana")</f>
        <v>Santana</v>
      </c>
      <c r="D36" s="31" t="str">
        <f ca="1">IFERROR(__xludf.DUMMYFUNCTION("""COMPUTED_VALUE"""),"Michele Santana Quint")</f>
        <v>Michele Santana Quint</v>
      </c>
      <c r="E36" s="32">
        <f ca="1">SUMIFS(Pagamentos!$E:$E,Pagamentos!$F:$F,TRUE,Pagamentos!$C:$C,$C36,Pagamentos!$D:$D,E$2)</f>
        <v>0</v>
      </c>
      <c r="F36" s="32">
        <f ca="1">SUMIFS(Pagamentos!$E:$E,Pagamentos!$F:$F,TRUE,Pagamentos!$C:$C,$C36,Pagamentos!$D:$D,F$2)</f>
        <v>0</v>
      </c>
      <c r="G36" s="32">
        <f ca="1">SUMIFS(Pagamentos!$E:$E,Pagamentos!$F:$F,TRUE,Pagamentos!$C:$C,$C36,Pagamentos!$D:$D,G$2)</f>
        <v>60</v>
      </c>
      <c r="H36" s="32">
        <f ca="1">SUMIFS(Pagamentos!$E:$E,Pagamentos!$F:$F,TRUE,Pagamentos!$C:$C,$C36,Pagamentos!$D:$D,H$2)</f>
        <v>0</v>
      </c>
      <c r="I36" s="32">
        <f ca="1">SUMIFS(Pagamentos!$E:$E,Pagamentos!$F:$F,TRUE,Pagamentos!$C:$C,$C36,Pagamentos!$D:$D,I$2)</f>
        <v>0</v>
      </c>
      <c r="J36" s="32">
        <f ca="1">SUMIFS(Pagamentos!$E:$E,Pagamentos!$F:$F,TRUE,Pagamentos!$C:$C,$C36,Pagamentos!$D:$D,J$2)</f>
        <v>0</v>
      </c>
      <c r="K36" s="32">
        <f ca="1">SUMIFS(Pagamentos!$E:$E,Pagamentos!$F:$F,TRUE,Pagamentos!$C:$C,$C36,Pagamentos!$D:$D,K$2)</f>
        <v>0</v>
      </c>
      <c r="L36" s="32">
        <f ca="1">SUMIFS(Pagamentos!$E:$E,Pagamentos!$F:$F,TRUE,Pagamentos!$C:$C,$C36,Pagamentos!$D:$D,L$2)</f>
        <v>0</v>
      </c>
      <c r="M36" s="32">
        <f ca="1">SUMIFS(Pagamentos!$E:$E,Pagamentos!$F:$F,TRUE,Pagamentos!$C:$C,$C36,Pagamentos!$D:$D,M$2)</f>
        <v>0</v>
      </c>
      <c r="N36" s="32">
        <f ca="1">SUMIFS(Pagamentos!$E:$E,Pagamentos!$F:$F,TRUE,Pagamentos!$C:$C,$C36,Pagamentos!$D:$D,N$2)</f>
        <v>0</v>
      </c>
      <c r="O36" s="32">
        <f ca="1">SUMIFS(Pagamentos!$E:$E,Pagamentos!$F:$F,TRUE,Pagamentos!$C:$C,$C36,Pagamentos!$D:$D,O$2)</f>
        <v>0</v>
      </c>
      <c r="P36" s="32">
        <f ca="1">SUMIFS(Pagamentos!$E:$E,Pagamentos!$F:$F,TRUE,Pagamentos!$C:$C,$C36,Pagamentos!$D:$D,P$2)</f>
        <v>0</v>
      </c>
      <c r="Q36" s="33">
        <v>0</v>
      </c>
      <c r="R36" s="34">
        <f t="shared" ca="1" si="2"/>
        <v>-5</v>
      </c>
      <c r="S36" s="73" t="str">
        <f ca="1">IFERROR(__xludf.DUMMYFUNCTION("SPARKLINE(SUM(E36:P36),{""charttype"",""bar"";""max"",$S$2})"),"")</f>
        <v/>
      </c>
      <c r="T36" s="74"/>
    </row>
    <row r="37" spans="1:20" ht="16.2" outlineLevel="1">
      <c r="A37" s="48"/>
      <c r="B37" s="38" t="str">
        <f t="array" aca="1" ref="B37" ca="1">IFERROR(INDEX(#REF!,MATCH(C37,#REF!,0)),"")</f>
        <v/>
      </c>
      <c r="C37" s="47" t="str">
        <f ca="1">IFERROR(__xludf.DUMMYFUNCTION("""COMPUTED_VALUE"""),"Sardá")</f>
        <v>Sardá</v>
      </c>
      <c r="D37" s="47" t="str">
        <f ca="1">IFERROR(__xludf.DUMMYFUNCTION("""COMPUTED_VALUE"""),"Julia da Silva Sardá ")</f>
        <v xml:space="preserve">Julia da Silva Sardá </v>
      </c>
      <c r="E37" s="40">
        <f ca="1">SUMIFS(Pagamentos!$E:$E,Pagamentos!$F:$F,TRUE,Pagamentos!$C:$C,$C37,Pagamentos!$D:$D,E$2)</f>
        <v>0</v>
      </c>
      <c r="F37" s="40">
        <f ca="1">SUMIFS(Pagamentos!$E:$E,Pagamentos!$F:$F,TRUE,Pagamentos!$C:$C,$C37,Pagamentos!$D:$D,F$2)</f>
        <v>0</v>
      </c>
      <c r="G37" s="40">
        <f ca="1">SUMIFS(Pagamentos!$E:$E,Pagamentos!$F:$F,TRUE,Pagamentos!$C:$C,$C37,Pagamentos!$D:$D,G$2)</f>
        <v>60</v>
      </c>
      <c r="H37" s="40">
        <f ca="1">SUMIFS(Pagamentos!$E:$E,Pagamentos!$F:$F,TRUE,Pagamentos!$C:$C,$C37,Pagamentos!$D:$D,H$2)</f>
        <v>20</v>
      </c>
      <c r="I37" s="40">
        <f ca="1">SUMIFS(Pagamentos!$E:$E,Pagamentos!$F:$F,TRUE,Pagamentos!$C:$C,$C37,Pagamentos!$D:$D,I$2)</f>
        <v>0</v>
      </c>
      <c r="J37" s="40">
        <f ca="1">SUMIFS(Pagamentos!$E:$E,Pagamentos!$F:$F,TRUE,Pagamentos!$C:$C,$C37,Pagamentos!$D:$D,J$2)</f>
        <v>0</v>
      </c>
      <c r="K37" s="40">
        <f ca="1">SUMIFS(Pagamentos!$E:$E,Pagamentos!$F:$F,TRUE,Pagamentos!$C:$C,$C37,Pagamentos!$D:$D,K$2)</f>
        <v>0</v>
      </c>
      <c r="L37" s="40">
        <f ca="1">SUMIFS(Pagamentos!$E:$E,Pagamentos!$F:$F,TRUE,Pagamentos!$C:$C,$C37,Pagamentos!$D:$D,L$2)</f>
        <v>0</v>
      </c>
      <c r="M37" s="40">
        <f ca="1">SUMIFS(Pagamentos!$E:$E,Pagamentos!$F:$F,TRUE,Pagamentos!$C:$C,$C37,Pagamentos!$D:$D,M$2)</f>
        <v>0</v>
      </c>
      <c r="N37" s="40">
        <f ca="1">SUMIFS(Pagamentos!$E:$E,Pagamentos!$F:$F,TRUE,Pagamentos!$C:$C,$C37,Pagamentos!$D:$D,N$2)</f>
        <v>0</v>
      </c>
      <c r="O37" s="40">
        <f ca="1">SUMIFS(Pagamentos!$E:$E,Pagamentos!$F:$F,TRUE,Pagamentos!$C:$C,$C37,Pagamentos!$D:$D,O$2)</f>
        <v>0</v>
      </c>
      <c r="P37" s="40">
        <f ca="1">SUMIFS(Pagamentos!$E:$E,Pagamentos!$F:$F,TRUE,Pagamentos!$C:$C,$C37,Pagamentos!$D:$D,P$2)</f>
        <v>0</v>
      </c>
      <c r="Q37" s="41">
        <v>0</v>
      </c>
      <c r="R37" s="42">
        <f t="shared" ca="1" si="2"/>
        <v>-4</v>
      </c>
      <c r="S37" s="49" t="str">
        <f ca="1">IFERROR(__xludf.DUMMYFUNCTION("SPARKLINE(SUM(E37:P37),{""charttype"",""bar"";""max"",$S$2})"),"")</f>
        <v/>
      </c>
      <c r="T37" s="50"/>
    </row>
    <row r="38" spans="1:20" ht="16.2" outlineLevel="1">
      <c r="A38" s="24"/>
      <c r="B38" s="29" t="str">
        <f t="array" aca="1" ref="B38" ca="1">IFERROR(INDEX(#REF!,MATCH(C38,#REF!,0)),"")</f>
        <v/>
      </c>
      <c r="C38" s="31" t="str">
        <f ca="1">IFERROR(__xludf.DUMMYFUNCTION("""COMPUTED_VALUE"""),"Schmitt")</f>
        <v>Schmitt</v>
      </c>
      <c r="D38" s="31" t="str">
        <f ca="1">IFERROR(__xludf.DUMMYFUNCTION("""COMPUTED_VALUE"""),"André Luiz Schmitt")</f>
        <v>André Luiz Schmitt</v>
      </c>
      <c r="E38" s="32">
        <f ca="1">SUMIFS(Pagamentos!$E:$E,Pagamentos!$F:$F,TRUE,Pagamentos!$C:$C,$C38,Pagamentos!$D:$D,E$2)</f>
        <v>0</v>
      </c>
      <c r="F38" s="32">
        <f ca="1">SUMIFS(Pagamentos!$E:$E,Pagamentos!$F:$F,TRUE,Pagamentos!$C:$C,$C38,Pagamentos!$D:$D,F$2)</f>
        <v>0</v>
      </c>
      <c r="G38" s="32">
        <f ca="1">SUMIFS(Pagamentos!$E:$E,Pagamentos!$F:$F,TRUE,Pagamentos!$C:$C,$C38,Pagamentos!$D:$D,G$2)</f>
        <v>100</v>
      </c>
      <c r="H38" s="32">
        <f ca="1">SUMIFS(Pagamentos!$E:$E,Pagamentos!$F:$F,TRUE,Pagamentos!$C:$C,$C38,Pagamentos!$D:$D,H$2)</f>
        <v>0</v>
      </c>
      <c r="I38" s="32">
        <f ca="1">SUMIFS(Pagamentos!$E:$E,Pagamentos!$F:$F,TRUE,Pagamentos!$C:$C,$C38,Pagamentos!$D:$D,I$2)</f>
        <v>0</v>
      </c>
      <c r="J38" s="32">
        <f ca="1">SUMIFS(Pagamentos!$E:$E,Pagamentos!$F:$F,TRUE,Pagamentos!$C:$C,$C38,Pagamentos!$D:$D,J$2)</f>
        <v>0</v>
      </c>
      <c r="K38" s="32">
        <f ca="1">SUMIFS(Pagamentos!$E:$E,Pagamentos!$F:$F,TRUE,Pagamentos!$C:$C,$C38,Pagamentos!$D:$D,K$2)</f>
        <v>0</v>
      </c>
      <c r="L38" s="32">
        <f ca="1">SUMIFS(Pagamentos!$E:$E,Pagamentos!$F:$F,TRUE,Pagamentos!$C:$C,$C38,Pagamentos!$D:$D,L$2)</f>
        <v>0</v>
      </c>
      <c r="M38" s="32">
        <f ca="1">SUMIFS(Pagamentos!$E:$E,Pagamentos!$F:$F,TRUE,Pagamentos!$C:$C,$C38,Pagamentos!$D:$D,M$2)</f>
        <v>0</v>
      </c>
      <c r="N38" s="32">
        <f ca="1">SUMIFS(Pagamentos!$E:$E,Pagamentos!$F:$F,TRUE,Pagamentos!$C:$C,$C38,Pagamentos!$D:$D,N$2)</f>
        <v>0</v>
      </c>
      <c r="O38" s="32">
        <f ca="1">SUMIFS(Pagamentos!$E:$E,Pagamentos!$F:$F,TRUE,Pagamentos!$C:$C,$C38,Pagamentos!$D:$D,O$2)</f>
        <v>0</v>
      </c>
      <c r="P38" s="32">
        <f ca="1">SUMIFS(Pagamentos!$E:$E,Pagamentos!$F:$F,TRUE,Pagamentos!$C:$C,$C38,Pagamentos!$D:$D,P$2)</f>
        <v>0</v>
      </c>
      <c r="Q38" s="33">
        <v>-1</v>
      </c>
      <c r="R38" s="34">
        <f t="shared" ca="1" si="2"/>
        <v>-4</v>
      </c>
      <c r="S38" s="46" t="str">
        <f ca="1">IFERROR(__xludf.DUMMYFUNCTION("SPARKLINE(SUM(E38:P38),{""charttype"",""bar"";""max"",$S$2})"),"")</f>
        <v/>
      </c>
      <c r="T38" s="36"/>
    </row>
    <row r="39" spans="1:20" ht="16.2" outlineLevel="1">
      <c r="A39" s="37"/>
      <c r="B39" s="38" t="str">
        <f t="array" aca="1" ref="B39" ca="1">IFERROR(INDEX(#REF!,MATCH(C39,#REF!,0)),"")</f>
        <v/>
      </c>
      <c r="C39" s="97" t="str">
        <f ca="1">IFERROR(__xludf.DUMMYFUNCTION("""COMPUTED_VALUE"""),"Spotti")</f>
        <v>Spotti</v>
      </c>
      <c r="D39" s="97" t="str">
        <f ca="1">IFERROR(__xludf.DUMMYFUNCTION("""COMPUTED_VALUE"""),"Kleber Spotti Rodrigues")</f>
        <v>Kleber Spotti Rodrigues</v>
      </c>
      <c r="E39" s="40">
        <f ca="1">SUMIFS(Pagamentos!$E:$E,Pagamentos!$F:$F,TRUE,Pagamentos!$C:$C,$C39,Pagamentos!$D:$D,E$2)</f>
        <v>0</v>
      </c>
      <c r="F39" s="40">
        <f ca="1">SUMIFS(Pagamentos!$E:$E,Pagamentos!$F:$F,TRUE,Pagamentos!$C:$C,$C39,Pagamentos!$D:$D,F$2)</f>
        <v>0</v>
      </c>
      <c r="G39" s="40">
        <f ca="1">SUMIFS(Pagamentos!$E:$E,Pagamentos!$F:$F,TRUE,Pagamentos!$C:$C,$C39,Pagamentos!$D:$D,G$2)</f>
        <v>100</v>
      </c>
      <c r="H39" s="40">
        <f ca="1">SUMIFS(Pagamentos!$E:$E,Pagamentos!$F:$F,TRUE,Pagamentos!$C:$C,$C39,Pagamentos!$D:$D,H$2)</f>
        <v>0</v>
      </c>
      <c r="I39" s="40">
        <f ca="1">SUMIFS(Pagamentos!$E:$E,Pagamentos!$F:$F,TRUE,Pagamentos!$C:$C,$C39,Pagamentos!$D:$D,I$2)</f>
        <v>0</v>
      </c>
      <c r="J39" s="40">
        <f ca="1">SUMIFS(Pagamentos!$E:$E,Pagamentos!$F:$F,TRUE,Pagamentos!$C:$C,$C39,Pagamentos!$D:$D,J$2)</f>
        <v>0</v>
      </c>
      <c r="K39" s="40">
        <f ca="1">SUMIFS(Pagamentos!$E:$E,Pagamentos!$F:$F,TRUE,Pagamentos!$C:$C,$C39,Pagamentos!$D:$D,K$2)</f>
        <v>0</v>
      </c>
      <c r="L39" s="40">
        <f ca="1">SUMIFS(Pagamentos!$E:$E,Pagamentos!$F:$F,TRUE,Pagamentos!$C:$C,$C39,Pagamentos!$D:$D,L$2)</f>
        <v>100</v>
      </c>
      <c r="M39" s="40">
        <f ca="1">SUMIFS(Pagamentos!$E:$E,Pagamentos!$F:$F,TRUE,Pagamentos!$C:$C,$C39,Pagamentos!$D:$D,M$2)</f>
        <v>0</v>
      </c>
      <c r="N39" s="40">
        <f ca="1">SUMIFS(Pagamentos!$E:$E,Pagamentos!$F:$F,TRUE,Pagamentos!$C:$C,$C39,Pagamentos!$D:$D,N$2)</f>
        <v>0</v>
      </c>
      <c r="O39" s="40">
        <f ca="1">SUMIFS(Pagamentos!$E:$E,Pagamentos!$F:$F,TRUE,Pagamentos!$C:$C,$C39,Pagamentos!$D:$D,O$2)</f>
        <v>0</v>
      </c>
      <c r="P39" s="40">
        <f ca="1">SUMIFS(Pagamentos!$E:$E,Pagamentos!$F:$F,TRUE,Pagamentos!$C:$C,$C39,Pagamentos!$D:$D,P$2)</f>
        <v>0</v>
      </c>
      <c r="Q39" s="41">
        <v>2</v>
      </c>
      <c r="R39" s="42">
        <f t="shared" ca="1" si="2"/>
        <v>4</v>
      </c>
      <c r="S39" s="43" t="str">
        <f ca="1">IFERROR(__xludf.DUMMYFUNCTION("SPARKLINE(SUM(E39:P39),{""charttype"",""bar"";""max"",$S$2})"),"")</f>
        <v/>
      </c>
      <c r="T39" s="44"/>
    </row>
    <row r="40" spans="1:20" ht="16.2" outlineLevel="1">
      <c r="A40" s="72"/>
      <c r="B40" s="29" t="str">
        <f t="array" aca="1" ref="B40" ca="1">IFERROR(INDEX(#REF!,MATCH(C40,#REF!,0)),"")</f>
        <v/>
      </c>
      <c r="C40" s="100" t="str">
        <f ca="1">IFERROR(__xludf.DUMMYFUNCTION("""COMPUTED_VALUE"""),"Alves")</f>
        <v>Alves</v>
      </c>
      <c r="D40" s="100" t="str">
        <f ca="1">IFERROR(__xludf.DUMMYFUNCTION("""COMPUTED_VALUE"""),"Uelder Alves Da Costa")</f>
        <v>Uelder Alves Da Costa</v>
      </c>
      <c r="E40" s="32">
        <f ca="1">SUMIFS(Pagamentos!$E:$E,Pagamentos!$F:$F,TRUE,Pagamentos!$C:$C,$C40,Pagamentos!$D:$D,E$2)</f>
        <v>0</v>
      </c>
      <c r="F40" s="32">
        <f ca="1">SUMIFS(Pagamentos!$E:$E,Pagamentos!$F:$F,TRUE,Pagamentos!$C:$C,$C40,Pagamentos!$D:$D,F$2)</f>
        <v>240</v>
      </c>
      <c r="G40" s="32">
        <f ca="1">SUMIFS(Pagamentos!$E:$E,Pagamentos!$F:$F,TRUE,Pagamentos!$C:$C,$C40,Pagamentos!$D:$D,G$2)</f>
        <v>0</v>
      </c>
      <c r="H40" s="32">
        <f ca="1">SUMIFS(Pagamentos!$E:$E,Pagamentos!$F:$F,TRUE,Pagamentos!$C:$C,$C40,Pagamentos!$D:$D,H$2)</f>
        <v>0</v>
      </c>
      <c r="I40" s="32">
        <f ca="1">SUMIFS(Pagamentos!$E:$E,Pagamentos!$F:$F,TRUE,Pagamentos!$C:$C,$C40,Pagamentos!$D:$D,I$2)</f>
        <v>0</v>
      </c>
      <c r="J40" s="32">
        <f ca="1">SUMIFS(Pagamentos!$E:$E,Pagamentos!$F:$F,TRUE,Pagamentos!$C:$C,$C40,Pagamentos!$D:$D,J$2)</f>
        <v>0</v>
      </c>
      <c r="K40" s="32">
        <f ca="1">SUMIFS(Pagamentos!$E:$E,Pagamentos!$F:$F,TRUE,Pagamentos!$C:$C,$C40,Pagamentos!$D:$D,K$2)</f>
        <v>0</v>
      </c>
      <c r="L40" s="32">
        <f ca="1">SUMIFS(Pagamentos!$E:$E,Pagamentos!$F:$F,TRUE,Pagamentos!$C:$C,$C40,Pagamentos!$D:$D,L$2)</f>
        <v>0</v>
      </c>
      <c r="M40" s="32">
        <f ca="1">SUMIFS(Pagamentos!$E:$E,Pagamentos!$F:$F,TRUE,Pagamentos!$C:$C,$C40,Pagamentos!$D:$D,M$2)</f>
        <v>0</v>
      </c>
      <c r="N40" s="32">
        <f ca="1">SUMIFS(Pagamentos!$E:$E,Pagamentos!$F:$F,TRUE,Pagamentos!$C:$C,$C40,Pagamentos!$D:$D,N$2)</f>
        <v>0</v>
      </c>
      <c r="O40" s="32">
        <f ca="1">SUMIFS(Pagamentos!$E:$E,Pagamentos!$F:$F,TRUE,Pagamentos!$C:$C,$C40,Pagamentos!$D:$D,O$2)</f>
        <v>0</v>
      </c>
      <c r="P40" s="32">
        <f ca="1">SUMIFS(Pagamentos!$E:$E,Pagamentos!$F:$F,TRUE,Pagamentos!$C:$C,$C40,Pagamentos!$D:$D,P$2)</f>
        <v>0</v>
      </c>
      <c r="Q40" s="33">
        <v>0</v>
      </c>
      <c r="R40" s="34">
        <f t="shared" ca="1" si="2"/>
        <v>4</v>
      </c>
      <c r="S40" s="73" t="str">
        <f ca="1">IFERROR(__xludf.DUMMYFUNCTION("SPARKLINE(SUM(E40:P40),{""charttype"",""bar"";""max"",$S$2})"),"")</f>
        <v/>
      </c>
      <c r="T40" s="74"/>
    </row>
    <row r="41" spans="1:20" ht="16.2" outlineLevel="1">
      <c r="A41" s="37"/>
      <c r="B41" s="38" t="str">
        <f t="array" aca="1" ref="B41" ca="1">IFERROR(INDEX(#REF!,MATCH(C41,#REF!,0)),"")</f>
        <v/>
      </c>
      <c r="C41" s="97" t="str">
        <f ca="1">IFERROR(__xludf.DUMMYFUNCTION("""COMPUTED_VALUE"""),"Ulysséia")</f>
        <v>Ulysséia</v>
      </c>
      <c r="D41" s="97" t="str">
        <f ca="1">IFERROR(__xludf.DUMMYFUNCTION("""COMPUTED_VALUE"""),"Ismael Vieira da Rosa Ulysséia")</f>
        <v>Ismael Vieira da Rosa Ulysséia</v>
      </c>
      <c r="E41" s="40">
        <f ca="1">SUMIFS(Pagamentos!$E:$E,Pagamentos!$F:$F,TRUE,Pagamentos!$C:$C,$C41,Pagamentos!$D:$D,E$2)</f>
        <v>0</v>
      </c>
      <c r="F41" s="40">
        <f ca="1">SUMIFS(Pagamentos!$E:$E,Pagamentos!$F:$F,TRUE,Pagamentos!$C:$C,$C41,Pagamentos!$D:$D,F$2)</f>
        <v>0</v>
      </c>
      <c r="G41" s="40">
        <f ca="1">SUMIFS(Pagamentos!$E:$E,Pagamentos!$F:$F,TRUE,Pagamentos!$C:$C,$C41,Pagamentos!$D:$D,G$2)</f>
        <v>100</v>
      </c>
      <c r="H41" s="40">
        <f ca="1">SUMIFS(Pagamentos!$E:$E,Pagamentos!$F:$F,TRUE,Pagamentos!$C:$C,$C41,Pagamentos!$D:$D,H$2)</f>
        <v>0</v>
      </c>
      <c r="I41" s="40">
        <f ca="1">SUMIFS(Pagamentos!$E:$E,Pagamentos!$F:$F,TRUE,Pagamentos!$C:$C,$C41,Pagamentos!$D:$D,I$2)</f>
        <v>0</v>
      </c>
      <c r="J41" s="40">
        <f ca="1">SUMIFS(Pagamentos!$E:$E,Pagamentos!$F:$F,TRUE,Pagamentos!$C:$C,$C41,Pagamentos!$D:$D,J$2)</f>
        <v>100</v>
      </c>
      <c r="K41" s="40">
        <f ca="1">SUMIFS(Pagamentos!$E:$E,Pagamentos!$F:$F,TRUE,Pagamentos!$C:$C,$C41,Pagamentos!$D:$D,K$2)</f>
        <v>0</v>
      </c>
      <c r="L41" s="40">
        <f ca="1">SUMIFS(Pagamentos!$E:$E,Pagamentos!$F:$F,TRUE,Pagamentos!$C:$C,$C41,Pagamentos!$D:$D,L$2)</f>
        <v>0</v>
      </c>
      <c r="M41" s="40">
        <f ca="1">SUMIFS(Pagamentos!$E:$E,Pagamentos!$F:$F,TRUE,Pagamentos!$C:$C,$C41,Pagamentos!$D:$D,M$2)</f>
        <v>0</v>
      </c>
      <c r="N41" s="40">
        <f ca="1">SUMIFS(Pagamentos!$E:$E,Pagamentos!$F:$F,TRUE,Pagamentos!$C:$C,$C41,Pagamentos!$D:$D,N$2)</f>
        <v>0</v>
      </c>
      <c r="O41" s="40">
        <f ca="1">SUMIFS(Pagamentos!$E:$E,Pagamentos!$F:$F,TRUE,Pagamentos!$C:$C,$C41,Pagamentos!$D:$D,O$2)</f>
        <v>0</v>
      </c>
      <c r="P41" s="40">
        <f ca="1">SUMIFS(Pagamentos!$E:$E,Pagamentos!$F:$F,TRUE,Pagamentos!$C:$C,$C41,Pagamentos!$D:$D,P$2)</f>
        <v>0</v>
      </c>
      <c r="Q41" s="41">
        <v>0</v>
      </c>
      <c r="R41" s="42">
        <f t="shared" ca="1" si="2"/>
        <v>2</v>
      </c>
      <c r="S41" s="43" t="str">
        <f ca="1">IFERROR(__xludf.DUMMYFUNCTION("SPARKLINE(SUM(E41:P41),{""charttype"",""bar"";""max"",$S$2})"),"")</f>
        <v/>
      </c>
      <c r="T41" s="44"/>
    </row>
    <row r="42" spans="1:20" ht="16.2" outlineLevel="1">
      <c r="A42" s="24"/>
      <c r="B42" s="29" t="str">
        <f t="array" aca="1" ref="B42" ca="1">IFERROR(INDEX(#REF!,MATCH(C42,#REF!,0)),"")</f>
        <v/>
      </c>
      <c r="C42" s="100" t="str">
        <f ca="1">IFERROR(__xludf.DUMMYFUNCTION("""COMPUTED_VALUE"""),"Yanka")</f>
        <v>Yanka</v>
      </c>
      <c r="D42" s="100" t="str">
        <f ca="1">IFERROR(__xludf.DUMMYFUNCTION("""COMPUTED_VALUE"""),"Yanka Caroliny Luciano")</f>
        <v>Yanka Caroliny Luciano</v>
      </c>
      <c r="E42" s="32">
        <f ca="1">SUMIFS(Pagamentos!$E:$E,Pagamentos!$F:$F,TRUE,Pagamentos!$C:$C,$C42,Pagamentos!$D:$D,E$2)</f>
        <v>20</v>
      </c>
      <c r="F42" s="32">
        <f ca="1">SUMIFS(Pagamentos!$E:$E,Pagamentos!$F:$F,TRUE,Pagamentos!$C:$C,$C42,Pagamentos!$D:$D,F$2)</f>
        <v>20</v>
      </c>
      <c r="G42" s="32">
        <f ca="1">SUMIFS(Pagamentos!$E:$E,Pagamentos!$F:$F,TRUE,Pagamentos!$C:$C,$C42,Pagamentos!$D:$D,G$2)</f>
        <v>0</v>
      </c>
      <c r="H42" s="32">
        <f ca="1">SUMIFS(Pagamentos!$E:$E,Pagamentos!$F:$F,TRUE,Pagamentos!$C:$C,$C42,Pagamentos!$D:$D,H$2)</f>
        <v>60</v>
      </c>
      <c r="I42" s="32">
        <f ca="1">SUMIFS(Pagamentos!$E:$E,Pagamentos!$F:$F,TRUE,Pagamentos!$C:$C,$C42,Pagamentos!$D:$D,I$2)</f>
        <v>20</v>
      </c>
      <c r="J42" s="32">
        <f ca="1">SUMIFS(Pagamentos!$E:$E,Pagamentos!$F:$F,TRUE,Pagamentos!$C:$C,$C42,Pagamentos!$D:$D,J$2)</f>
        <v>20</v>
      </c>
      <c r="K42" s="32">
        <f ca="1">SUMIFS(Pagamentos!$E:$E,Pagamentos!$F:$F,TRUE,Pagamentos!$C:$C,$C42,Pagamentos!$D:$D,K$2)</f>
        <v>20</v>
      </c>
      <c r="L42" s="32">
        <f ca="1">SUMIFS(Pagamentos!$E:$E,Pagamentos!$F:$F,TRUE,Pagamentos!$C:$C,$C42,Pagamentos!$D:$D,L$2)</f>
        <v>0</v>
      </c>
      <c r="M42" s="32">
        <f ca="1">SUMIFS(Pagamentos!$E:$E,Pagamentos!$F:$F,TRUE,Pagamentos!$C:$C,$C42,Pagamentos!$D:$D,M$2)</f>
        <v>0</v>
      </c>
      <c r="N42" s="32">
        <f ca="1">SUMIFS(Pagamentos!$E:$E,Pagamentos!$F:$F,TRUE,Pagamentos!$C:$C,$C42,Pagamentos!$D:$D,N$2)</f>
        <v>0</v>
      </c>
      <c r="O42" s="32">
        <f ca="1">SUMIFS(Pagamentos!$E:$E,Pagamentos!$F:$F,TRUE,Pagamentos!$C:$C,$C42,Pagamentos!$D:$D,O$2)</f>
        <v>0</v>
      </c>
      <c r="P42" s="32">
        <f ca="1">SUMIFS(Pagamentos!$E:$E,Pagamentos!$F:$F,TRUE,Pagamentos!$C:$C,$C42,Pagamentos!$D:$D,P$2)</f>
        <v>0</v>
      </c>
      <c r="Q42" s="33">
        <v>0</v>
      </c>
      <c r="R42" s="34">
        <f t="shared" ca="1" si="2"/>
        <v>0</v>
      </c>
      <c r="S42" s="46" t="str">
        <f ca="1">IFERROR(__xludf.DUMMYFUNCTION("SPARKLINE(SUM(E42:P42),{""charttype"",""bar"";""max"",$S$2})"),"")</f>
        <v/>
      </c>
      <c r="T42" s="36"/>
    </row>
    <row r="43" spans="1:20" ht="16.2" outlineLevel="1">
      <c r="A43" s="37"/>
      <c r="B43" s="38" t="str">
        <f t="array" aca="1" ref="B43" ca="1">IFERROR(INDEX(#REF!,MATCH(C43,#REF!,0)),"")</f>
        <v/>
      </c>
      <c r="C43" s="97" t="str">
        <f ca="1">IFERROR(__xludf.DUMMYFUNCTION("""COMPUTED_VALUE"""),"Yuri")</f>
        <v>Yuri</v>
      </c>
      <c r="D43" s="97" t="str">
        <f ca="1">IFERROR(__xludf.DUMMYFUNCTION("""COMPUTED_VALUE"""),"Yuri Esmerio dos Santos ")</f>
        <v xml:space="preserve">Yuri Esmerio dos Santos </v>
      </c>
      <c r="E43" s="40">
        <f ca="1">SUMIFS(Pagamentos!$E:$E,Pagamentos!$F:$F,TRUE,Pagamentos!$C:$C,$C43,Pagamentos!$D:$D,E$2)</f>
        <v>20</v>
      </c>
      <c r="F43" s="40">
        <f ca="1">SUMIFS(Pagamentos!$E:$E,Pagamentos!$F:$F,TRUE,Pagamentos!$C:$C,$C43,Pagamentos!$D:$D,F$2)</f>
        <v>20</v>
      </c>
      <c r="G43" s="40">
        <f ca="1">SUMIFS(Pagamentos!$E:$E,Pagamentos!$F:$F,TRUE,Pagamentos!$C:$C,$C43,Pagamentos!$D:$D,G$2)</f>
        <v>40</v>
      </c>
      <c r="H43" s="40">
        <f ca="1">SUMIFS(Pagamentos!$E:$E,Pagamentos!$F:$F,TRUE,Pagamentos!$C:$C,$C43,Pagamentos!$D:$D,H$2)</f>
        <v>0</v>
      </c>
      <c r="I43" s="40">
        <f ca="1">SUMIFS(Pagamentos!$E:$E,Pagamentos!$F:$F,TRUE,Pagamentos!$C:$C,$C43,Pagamentos!$D:$D,I$2)</f>
        <v>20</v>
      </c>
      <c r="J43" s="40">
        <f ca="1">SUMIFS(Pagamentos!$E:$E,Pagamentos!$F:$F,TRUE,Pagamentos!$C:$C,$C43,Pagamentos!$D:$D,J$2)</f>
        <v>20</v>
      </c>
      <c r="K43" s="40">
        <f ca="1">SUMIFS(Pagamentos!$E:$E,Pagamentos!$F:$F,TRUE,Pagamentos!$C:$C,$C43,Pagamentos!$D:$D,K$2)</f>
        <v>20</v>
      </c>
      <c r="L43" s="40">
        <f ca="1">SUMIFS(Pagamentos!$E:$E,Pagamentos!$F:$F,TRUE,Pagamentos!$C:$C,$C43,Pagamentos!$D:$D,L$2)</f>
        <v>0</v>
      </c>
      <c r="M43" s="40">
        <f ca="1">SUMIFS(Pagamentos!$E:$E,Pagamentos!$F:$F,TRUE,Pagamentos!$C:$C,$C43,Pagamentos!$D:$D,M$2)</f>
        <v>0</v>
      </c>
      <c r="N43" s="40">
        <f ca="1">SUMIFS(Pagamentos!$E:$E,Pagamentos!$F:$F,TRUE,Pagamentos!$C:$C,$C43,Pagamentos!$D:$D,N$2)</f>
        <v>0</v>
      </c>
      <c r="O43" s="40">
        <f ca="1">SUMIFS(Pagamentos!$E:$E,Pagamentos!$F:$F,TRUE,Pagamentos!$C:$C,$C43,Pagamentos!$D:$D,O$2)</f>
        <v>0</v>
      </c>
      <c r="P43" s="40">
        <f ca="1">SUMIFS(Pagamentos!$E:$E,Pagamentos!$F:$F,TRUE,Pagamentos!$C:$C,$C43,Pagamentos!$D:$D,P$2)</f>
        <v>0</v>
      </c>
      <c r="Q43" s="41">
        <v>0</v>
      </c>
      <c r="R43" s="42">
        <f t="shared" ca="1" si="2"/>
        <v>-1</v>
      </c>
      <c r="S43" s="43" t="str">
        <f ca="1">IFERROR(__xludf.DUMMYFUNCTION("SPARKLINE(SUM(E43:P43),{""charttype"",""bar"";""max"",$S$2})"),"")</f>
        <v/>
      </c>
      <c r="T43" s="44"/>
    </row>
    <row r="44" spans="1:20" ht="16.2" outlineLevel="1">
      <c r="A44" s="24"/>
      <c r="B44" s="29" t="str">
        <f t="array" aca="1" ref="B44" ca="1">IFERROR(INDEX(#REF!,MATCH(C44,#REF!,0)),"")</f>
        <v/>
      </c>
      <c r="C44" s="100" t="str">
        <f ca="1">IFERROR(__xludf.DUMMYFUNCTION("""COMPUTED_VALUE"""),"Fortkamp")</f>
        <v>Fortkamp</v>
      </c>
      <c r="D44" s="100" t="str">
        <f ca="1">IFERROR(__xludf.DUMMYFUNCTION("""COMPUTED_VALUE"""),"Markian da Silveira Fortkamp")</f>
        <v>Markian da Silveira Fortkamp</v>
      </c>
      <c r="E44" s="32">
        <f ca="1">SUMIFS(Pagamentos!$E:$E,Pagamentos!$F:$F,TRUE,Pagamentos!$C:$C,$C44,Pagamentos!$D:$D,E$2)</f>
        <v>0</v>
      </c>
      <c r="F44" s="32">
        <f ca="1">SUMIFS(Pagamentos!$E:$E,Pagamentos!$F:$F,TRUE,Pagamentos!$C:$C,$C44,Pagamentos!$D:$D,F$2)</f>
        <v>20</v>
      </c>
      <c r="G44" s="32">
        <f ca="1">SUMIFS(Pagamentos!$E:$E,Pagamentos!$F:$F,TRUE,Pagamentos!$C:$C,$C44,Pagamentos!$D:$D,G$2)</f>
        <v>40</v>
      </c>
      <c r="H44" s="32">
        <f ca="1">SUMIFS(Pagamentos!$E:$E,Pagamentos!$F:$F,TRUE,Pagamentos!$C:$C,$C44,Pagamentos!$D:$D,H$2)</f>
        <v>20</v>
      </c>
      <c r="I44" s="32">
        <f ca="1">SUMIFS(Pagamentos!$E:$E,Pagamentos!$F:$F,TRUE,Pagamentos!$C:$C,$C44,Pagamentos!$D:$D,I$2)</f>
        <v>0</v>
      </c>
      <c r="J44" s="32">
        <f ca="1">SUMIFS(Pagamentos!$E:$E,Pagamentos!$F:$F,TRUE,Pagamentos!$C:$C,$C44,Pagamentos!$D:$D,J$2)</f>
        <v>20</v>
      </c>
      <c r="K44" s="32">
        <f ca="1">SUMIFS(Pagamentos!$E:$E,Pagamentos!$F:$F,TRUE,Pagamentos!$C:$C,$C44,Pagamentos!$D:$D,K$2)</f>
        <v>20</v>
      </c>
      <c r="L44" s="32">
        <f ca="1">SUMIFS(Pagamentos!$E:$E,Pagamentos!$F:$F,TRUE,Pagamentos!$C:$C,$C44,Pagamentos!$D:$D,L$2)</f>
        <v>0</v>
      </c>
      <c r="M44" s="32">
        <f ca="1">SUMIFS(Pagamentos!$E:$E,Pagamentos!$F:$F,TRUE,Pagamentos!$C:$C,$C44,Pagamentos!$D:$D,M$2)</f>
        <v>0</v>
      </c>
      <c r="N44" s="32">
        <f ca="1">SUMIFS(Pagamentos!$E:$E,Pagamentos!$F:$F,TRUE,Pagamentos!$C:$C,$C44,Pagamentos!$D:$D,N$2)</f>
        <v>0</v>
      </c>
      <c r="O44" s="32">
        <f ca="1">SUMIFS(Pagamentos!$E:$E,Pagamentos!$F:$F,TRUE,Pagamentos!$C:$C,$C44,Pagamentos!$D:$D,O$2)</f>
        <v>0</v>
      </c>
      <c r="P44" s="32">
        <f ca="1">SUMIFS(Pagamentos!$E:$E,Pagamentos!$F:$F,TRUE,Pagamentos!$C:$C,$C44,Pagamentos!$D:$D,P$2)</f>
        <v>0</v>
      </c>
      <c r="Q44" s="33">
        <v>0</v>
      </c>
      <c r="R44" s="34">
        <f t="shared" ca="1" si="2"/>
        <v>-2</v>
      </c>
      <c r="S44" s="46" t="str">
        <f ca="1">IFERROR(__xludf.DUMMYFUNCTION("SPARKLINE(SUM(E44:P44),{""charttype"",""bar"";""max"",$S$2})"),"")</f>
        <v/>
      </c>
      <c r="T44" s="36"/>
    </row>
    <row r="45" spans="1:20" ht="16.2" outlineLevel="1">
      <c r="A45" s="37"/>
      <c r="B45" s="38" t="str">
        <f t="array" aca="1" ref="B45" ca="1">IFERROR(INDEX(#REF!,MATCH(C45,#REF!,0)),"")</f>
        <v/>
      </c>
      <c r="C45" s="97" t="str">
        <f ca="1">IFERROR(__xludf.DUMMYFUNCTION("""COMPUTED_VALUE"""),"Jesus")</f>
        <v>Jesus</v>
      </c>
      <c r="D45" s="97" t="str">
        <f ca="1">IFERROR(__xludf.DUMMYFUNCTION("""COMPUTED_VALUE"""),"Karina  Maria de Jesus Sobrinho")</f>
        <v>Karina  Maria de Jesus Sobrinho</v>
      </c>
      <c r="E45" s="40">
        <f ca="1">SUMIFS(Pagamentos!$E:$E,Pagamentos!$F:$F,TRUE,Pagamentos!$C:$C,$C45,Pagamentos!$D:$D,E$2)</f>
        <v>20</v>
      </c>
      <c r="F45" s="40">
        <f ca="1">SUMIFS(Pagamentos!$E:$E,Pagamentos!$F:$F,TRUE,Pagamentos!$C:$C,$C45,Pagamentos!$D:$D,F$2)</f>
        <v>0</v>
      </c>
      <c r="G45" s="40">
        <f ca="1">SUMIFS(Pagamentos!$E:$E,Pagamentos!$F:$F,TRUE,Pagamentos!$C:$C,$C45,Pagamentos!$D:$D,G$2)</f>
        <v>40</v>
      </c>
      <c r="H45" s="40">
        <f ca="1">SUMIFS(Pagamentos!$E:$E,Pagamentos!$F:$F,TRUE,Pagamentos!$C:$C,$C45,Pagamentos!$D:$D,H$2)</f>
        <v>0</v>
      </c>
      <c r="I45" s="40">
        <f ca="1">SUMIFS(Pagamentos!$E:$E,Pagamentos!$F:$F,TRUE,Pagamentos!$C:$C,$C45,Pagamentos!$D:$D,I$2)</f>
        <v>0</v>
      </c>
      <c r="J45" s="40">
        <f ca="1">SUMIFS(Pagamentos!$E:$E,Pagamentos!$F:$F,TRUE,Pagamentos!$C:$C,$C45,Pagamentos!$D:$D,J$2)</f>
        <v>60</v>
      </c>
      <c r="K45" s="40">
        <f ca="1">SUMIFS(Pagamentos!$E:$E,Pagamentos!$F:$F,TRUE,Pagamentos!$C:$C,$C45,Pagamentos!$D:$D,K$2)</f>
        <v>0</v>
      </c>
      <c r="L45" s="40">
        <f ca="1">SUMIFS(Pagamentos!$E:$E,Pagamentos!$F:$F,TRUE,Pagamentos!$C:$C,$C45,Pagamentos!$D:$D,L$2)</f>
        <v>0</v>
      </c>
      <c r="M45" s="40">
        <f ca="1">SUMIFS(Pagamentos!$E:$E,Pagamentos!$F:$F,TRUE,Pagamentos!$C:$C,$C45,Pagamentos!$D:$D,M$2)</f>
        <v>0</v>
      </c>
      <c r="N45" s="40">
        <f ca="1">SUMIFS(Pagamentos!$E:$E,Pagamentos!$F:$F,TRUE,Pagamentos!$C:$C,$C45,Pagamentos!$D:$D,N$2)</f>
        <v>0</v>
      </c>
      <c r="O45" s="40">
        <f ca="1">SUMIFS(Pagamentos!$E:$E,Pagamentos!$F:$F,TRUE,Pagamentos!$C:$C,$C45,Pagamentos!$D:$D,O$2)</f>
        <v>0</v>
      </c>
      <c r="P45" s="40">
        <f ca="1">SUMIFS(Pagamentos!$E:$E,Pagamentos!$F:$F,TRUE,Pagamentos!$C:$C,$C45,Pagamentos!$D:$D,P$2)</f>
        <v>0</v>
      </c>
      <c r="Q45" s="41">
        <v>0</v>
      </c>
      <c r="R45" s="42">
        <f t="shared" ca="1" si="2"/>
        <v>-2</v>
      </c>
      <c r="S45" s="43" t="str">
        <f ca="1">IFERROR(__xludf.DUMMYFUNCTION("SPARKLINE(SUM(E45:P45),{""charttype"",""bar"";""max"",$S$2})"),"")</f>
        <v/>
      </c>
      <c r="T45" s="44"/>
    </row>
    <row r="46" spans="1:20" ht="16.2" outlineLevel="1">
      <c r="A46" s="24"/>
      <c r="B46" s="29" t="str">
        <f t="array" aca="1" ref="B46" ca="1">IFERROR(INDEX(#REF!,MATCH(C46,#REF!,0)),"")</f>
        <v/>
      </c>
      <c r="C46" s="100" t="str">
        <f ca="1">IFERROR(__xludf.DUMMYFUNCTION("""COMPUTED_VALUE"""),"Nakata")</f>
        <v>Nakata</v>
      </c>
      <c r="D46" s="100" t="str">
        <f ca="1">IFERROR(__xludf.DUMMYFUNCTION("""COMPUTED_VALUE"""),"Nakata Garra Gomes")</f>
        <v>Nakata Garra Gomes</v>
      </c>
      <c r="E46" s="32">
        <f ca="1">SUMIFS(Pagamentos!$E:$E,Pagamentos!$F:$F,TRUE,Pagamentos!$C:$C,$C46,Pagamentos!$D:$D,E$2)</f>
        <v>40</v>
      </c>
      <c r="F46" s="32">
        <f ca="1">SUMIFS(Pagamentos!$E:$E,Pagamentos!$F:$F,TRUE,Pagamentos!$C:$C,$C46,Pagamentos!$D:$D,F$2)</f>
        <v>20</v>
      </c>
      <c r="G46" s="32">
        <f ca="1">SUMIFS(Pagamentos!$E:$E,Pagamentos!$F:$F,TRUE,Pagamentos!$C:$C,$C46,Pagamentos!$D:$D,G$2)</f>
        <v>20</v>
      </c>
      <c r="H46" s="32">
        <f ca="1">SUMIFS(Pagamentos!$E:$E,Pagamentos!$F:$F,TRUE,Pagamentos!$C:$C,$C46,Pagamentos!$D:$D,H$2)</f>
        <v>20</v>
      </c>
      <c r="I46" s="32">
        <f ca="1">SUMIFS(Pagamentos!$E:$E,Pagamentos!$F:$F,TRUE,Pagamentos!$C:$C,$C46,Pagamentos!$D:$D,I$2)</f>
        <v>0</v>
      </c>
      <c r="J46" s="32">
        <f ca="1">SUMIFS(Pagamentos!$E:$E,Pagamentos!$F:$F,TRUE,Pagamentos!$C:$C,$C46,Pagamentos!$D:$D,J$2)</f>
        <v>0</v>
      </c>
      <c r="K46" s="32">
        <f ca="1">SUMIFS(Pagamentos!$E:$E,Pagamentos!$F:$F,TRUE,Pagamentos!$C:$C,$C46,Pagamentos!$D:$D,K$2)</f>
        <v>0</v>
      </c>
      <c r="L46" s="32">
        <f ca="1">SUMIFS(Pagamentos!$E:$E,Pagamentos!$F:$F,TRUE,Pagamentos!$C:$C,$C46,Pagamentos!$D:$D,L$2)</f>
        <v>0</v>
      </c>
      <c r="M46" s="32">
        <f ca="1">SUMIFS(Pagamentos!$E:$E,Pagamentos!$F:$F,TRUE,Pagamentos!$C:$C,$C46,Pagamentos!$D:$D,M$2)</f>
        <v>0</v>
      </c>
      <c r="N46" s="32">
        <f ca="1">SUMIFS(Pagamentos!$E:$E,Pagamentos!$F:$F,TRUE,Pagamentos!$C:$C,$C46,Pagamentos!$D:$D,N$2)</f>
        <v>0</v>
      </c>
      <c r="O46" s="32">
        <f ca="1">SUMIFS(Pagamentos!$E:$E,Pagamentos!$F:$F,TRUE,Pagamentos!$C:$C,$C46,Pagamentos!$D:$D,O$2)</f>
        <v>0</v>
      </c>
      <c r="P46" s="32">
        <f ca="1">SUMIFS(Pagamentos!$E:$E,Pagamentos!$F:$F,TRUE,Pagamentos!$C:$C,$C46,Pagamentos!$D:$D,P$2)</f>
        <v>0</v>
      </c>
      <c r="Q46" s="33">
        <v>-1</v>
      </c>
      <c r="R46" s="34">
        <f t="shared" ca="1" si="2"/>
        <v>-4</v>
      </c>
      <c r="S46" s="46" t="str">
        <f ca="1">IFERROR(__xludf.DUMMYFUNCTION("SPARKLINE(SUM(E46:P46),{""charttype"",""bar"";""max"",$S$2})"),"")</f>
        <v/>
      </c>
      <c r="T46" s="36"/>
    </row>
    <row r="47" spans="1:20" ht="16.2" outlineLevel="1">
      <c r="A47" s="37"/>
      <c r="B47" s="38" t="str">
        <f t="array" aca="1" ref="B47" ca="1">IFERROR(INDEX(#REF!,MATCH(C47,#REF!,0)),"")</f>
        <v/>
      </c>
      <c r="C47" s="97" t="str">
        <f ca="1">IFERROR(__xludf.DUMMYFUNCTION("""COMPUTED_VALUE"""),"Weverton ")</f>
        <v xml:space="preserve">Weverton </v>
      </c>
      <c r="D47" s="97" t="str">
        <f ca="1">IFERROR(__xludf.DUMMYFUNCTION("""COMPUTED_VALUE"""),"Weverton José Machado ")</f>
        <v xml:space="preserve">Weverton José Machado </v>
      </c>
      <c r="E47" s="40">
        <f ca="1">SUMIFS(Pagamentos!$E:$E,Pagamentos!$F:$F,TRUE,Pagamentos!$C:$C,$C47,Pagamentos!$D:$D,E$2)</f>
        <v>0</v>
      </c>
      <c r="F47" s="40">
        <f ca="1">SUMIFS(Pagamentos!$E:$E,Pagamentos!$F:$F,TRUE,Pagamentos!$C:$C,$C47,Pagamentos!$D:$D,F$2)</f>
        <v>0</v>
      </c>
      <c r="G47" s="40">
        <f ca="1">SUMIFS(Pagamentos!$E:$E,Pagamentos!$F:$F,TRUE,Pagamentos!$C:$C,$C47,Pagamentos!$D:$D,G$2)</f>
        <v>100</v>
      </c>
      <c r="H47" s="40">
        <f ca="1">SUMIFS(Pagamentos!$E:$E,Pagamentos!$F:$F,TRUE,Pagamentos!$C:$C,$C47,Pagamentos!$D:$D,H$2)</f>
        <v>0</v>
      </c>
      <c r="I47" s="40">
        <f ca="1">SUMIFS(Pagamentos!$E:$E,Pagamentos!$F:$F,TRUE,Pagamentos!$C:$C,$C47,Pagamentos!$D:$D,I$2)</f>
        <v>0</v>
      </c>
      <c r="J47" s="40">
        <f ca="1">SUMIFS(Pagamentos!$E:$E,Pagamentos!$F:$F,TRUE,Pagamentos!$C:$C,$C47,Pagamentos!$D:$D,J$2)</f>
        <v>0</v>
      </c>
      <c r="K47" s="40">
        <f ca="1">SUMIFS(Pagamentos!$E:$E,Pagamentos!$F:$F,TRUE,Pagamentos!$C:$C,$C47,Pagamentos!$D:$D,K$2)</f>
        <v>0</v>
      </c>
      <c r="L47" s="40">
        <f ca="1">SUMIFS(Pagamentos!$E:$E,Pagamentos!$F:$F,TRUE,Pagamentos!$C:$C,$C47,Pagamentos!$D:$D,L$2)</f>
        <v>0</v>
      </c>
      <c r="M47" s="40">
        <f ca="1">SUMIFS(Pagamentos!$E:$E,Pagamentos!$F:$F,TRUE,Pagamentos!$C:$C,$C47,Pagamentos!$D:$D,M$2)</f>
        <v>0</v>
      </c>
      <c r="N47" s="40">
        <f ca="1">SUMIFS(Pagamentos!$E:$E,Pagamentos!$F:$F,TRUE,Pagamentos!$C:$C,$C47,Pagamentos!$D:$D,N$2)</f>
        <v>0</v>
      </c>
      <c r="O47" s="40">
        <f ca="1">SUMIFS(Pagamentos!$E:$E,Pagamentos!$F:$F,TRUE,Pagamentos!$C:$C,$C47,Pagamentos!$D:$D,O$2)</f>
        <v>0</v>
      </c>
      <c r="P47" s="40">
        <f ca="1">SUMIFS(Pagamentos!$E:$E,Pagamentos!$F:$F,TRUE,Pagamentos!$C:$C,$C47,Pagamentos!$D:$D,P$2)</f>
        <v>0</v>
      </c>
      <c r="Q47" s="41">
        <v>-2</v>
      </c>
      <c r="R47" s="42">
        <f t="shared" ca="1" si="2"/>
        <v>-5</v>
      </c>
      <c r="S47" s="43" t="str">
        <f ca="1">IFERROR(__xludf.DUMMYFUNCTION("SPARKLINE(SUM(E47:P47),{""charttype"",""bar"";""max"",$S$2})"),"")</f>
        <v/>
      </c>
      <c r="T47" s="44"/>
    </row>
    <row r="48" spans="1:20" ht="16.2" outlineLevel="1">
      <c r="A48" s="24"/>
      <c r="B48" s="29" t="str">
        <f t="array" aca="1" ref="B48" ca="1">IFERROR(INDEX(#REF!,MATCH(C48,#REF!,0)),"")</f>
        <v/>
      </c>
      <c r="C48" s="101" t="str">
        <f ca="1">IFERROR(__xludf.DUMMYFUNCTION("""COMPUTED_VALUE"""),"Martins")</f>
        <v>Martins</v>
      </c>
      <c r="D48" s="100" t="str">
        <f ca="1">IFERROR(__xludf.DUMMYFUNCTION("""COMPUTED_VALUE"""),"Alexandre Vinicius Martins ")</f>
        <v xml:space="preserve">Alexandre Vinicius Martins </v>
      </c>
      <c r="E48" s="32">
        <f ca="1">SUMIFS(Pagamentos!$E:$E,Pagamentos!$F:$F,TRUE,Pagamentos!$C:$C,$C48,Pagamentos!$D:$D,E$2)</f>
        <v>20</v>
      </c>
      <c r="F48" s="32">
        <f ca="1">SUMIFS(Pagamentos!$E:$E,Pagamentos!$F:$F,TRUE,Pagamentos!$C:$C,$C48,Pagamentos!$D:$D,F$2)</f>
        <v>20</v>
      </c>
      <c r="G48" s="32">
        <f ca="1">SUMIFS(Pagamentos!$E:$E,Pagamentos!$F:$F,TRUE,Pagamentos!$C:$C,$C48,Pagamentos!$D:$D,G$2)</f>
        <v>20</v>
      </c>
      <c r="H48" s="32">
        <f ca="1">SUMIFS(Pagamentos!$E:$E,Pagamentos!$F:$F,TRUE,Pagamentos!$C:$C,$C48,Pagamentos!$D:$D,H$2)</f>
        <v>40</v>
      </c>
      <c r="I48" s="32">
        <f ca="1">SUMIFS(Pagamentos!$E:$E,Pagamentos!$F:$F,TRUE,Pagamentos!$C:$C,$C48,Pagamentos!$D:$D,I$2)</f>
        <v>20</v>
      </c>
      <c r="J48" s="32">
        <f ca="1">SUMIFS(Pagamentos!$E:$E,Pagamentos!$F:$F,TRUE,Pagamentos!$C:$C,$C48,Pagamentos!$D:$D,J$2)</f>
        <v>20</v>
      </c>
      <c r="K48" s="32">
        <f ca="1">SUMIFS(Pagamentos!$E:$E,Pagamentos!$F:$F,TRUE,Pagamentos!$C:$C,$C48,Pagamentos!$D:$D,K$2)</f>
        <v>20</v>
      </c>
      <c r="L48" s="32">
        <f ca="1">SUMIFS(Pagamentos!$E:$E,Pagamentos!$F:$F,TRUE,Pagamentos!$C:$C,$C48,Pagamentos!$D:$D,L$2)</f>
        <v>0</v>
      </c>
      <c r="M48" s="32">
        <f ca="1">SUMIFS(Pagamentos!$E:$E,Pagamentos!$F:$F,TRUE,Pagamentos!$C:$C,$C48,Pagamentos!$D:$D,M$2)</f>
        <v>0</v>
      </c>
      <c r="N48" s="32">
        <f ca="1">SUMIFS(Pagamentos!$E:$E,Pagamentos!$F:$F,TRUE,Pagamentos!$C:$C,$C48,Pagamentos!$D:$D,N$2)</f>
        <v>0</v>
      </c>
      <c r="O48" s="32">
        <f ca="1">SUMIFS(Pagamentos!$E:$E,Pagamentos!$F:$F,TRUE,Pagamentos!$C:$C,$C48,Pagamentos!$D:$D,O$2)</f>
        <v>0</v>
      </c>
      <c r="P48" s="32">
        <f ca="1">SUMIFS(Pagamentos!$E:$E,Pagamentos!$F:$F,TRUE,Pagamentos!$C:$C,$C48,Pagamentos!$D:$D,P$2)</f>
        <v>0</v>
      </c>
      <c r="Q48" s="33">
        <v>-1</v>
      </c>
      <c r="R48" s="34">
        <f t="shared" ca="1" si="2"/>
        <v>-1</v>
      </c>
      <c r="S48" s="46" t="str">
        <f ca="1">IFERROR(__xludf.DUMMYFUNCTION("SPARKLINE(SUM(E48:P48),{""charttype"",""bar"";""max"",$S$2})"),"")</f>
        <v/>
      </c>
      <c r="T48" s="36"/>
    </row>
    <row r="49" spans="1:20" ht="16.2" outlineLevel="1">
      <c r="A49" s="37"/>
      <c r="B49" s="38" t="str">
        <f t="array" aca="1" ref="B49" ca="1">IFERROR(INDEX(#REF!,MATCH(C49,#REF!,0)),"")</f>
        <v/>
      </c>
      <c r="C49" s="97" t="str">
        <f ca="1">IFERROR(__xludf.DUMMYFUNCTION("""COMPUTED_VALUE"""),"Ana Carolina ")</f>
        <v xml:space="preserve">Ana Carolina </v>
      </c>
      <c r="D49" s="97" t="str">
        <f ca="1">IFERROR(__xludf.DUMMYFUNCTION("""COMPUTED_VALUE"""),"Ana Carolina Nascimento ")</f>
        <v xml:space="preserve">Ana Carolina Nascimento </v>
      </c>
      <c r="E49" s="40">
        <f ca="1">SUMIFS(Pagamentos!$E:$E,Pagamentos!$F:$F,TRUE,Pagamentos!$C:$C,$C49,Pagamentos!$D:$D,E$2)</f>
        <v>0</v>
      </c>
      <c r="F49" s="40">
        <f ca="1">SUMIFS(Pagamentos!$E:$E,Pagamentos!$F:$F,TRUE,Pagamentos!$C:$C,$C49,Pagamentos!$D:$D,F$2)</f>
        <v>60</v>
      </c>
      <c r="G49" s="40">
        <f ca="1">SUMIFS(Pagamentos!$E:$E,Pagamentos!$F:$F,TRUE,Pagamentos!$C:$C,$C49,Pagamentos!$D:$D,G$2)</f>
        <v>20</v>
      </c>
      <c r="H49" s="40">
        <f ca="1">SUMIFS(Pagamentos!$E:$E,Pagamentos!$F:$F,TRUE,Pagamentos!$C:$C,$C49,Pagamentos!$D:$D,H$2)</f>
        <v>40</v>
      </c>
      <c r="I49" s="40">
        <f ca="1">SUMIFS(Pagamentos!$E:$E,Pagamentos!$F:$F,TRUE,Pagamentos!$C:$C,$C49,Pagamentos!$D:$D,I$2)</f>
        <v>0</v>
      </c>
      <c r="J49" s="40">
        <f ca="1">SUMIFS(Pagamentos!$E:$E,Pagamentos!$F:$F,TRUE,Pagamentos!$C:$C,$C49,Pagamentos!$D:$D,J$2)</f>
        <v>20</v>
      </c>
      <c r="K49" s="40">
        <f ca="1">SUMIFS(Pagamentos!$E:$E,Pagamentos!$F:$F,TRUE,Pagamentos!$C:$C,$C49,Pagamentos!$D:$D,K$2)</f>
        <v>0</v>
      </c>
      <c r="L49" s="40">
        <f ca="1">SUMIFS(Pagamentos!$E:$E,Pagamentos!$F:$F,TRUE,Pagamentos!$C:$C,$C49,Pagamentos!$D:$D,L$2)</f>
        <v>0</v>
      </c>
      <c r="M49" s="40">
        <f ca="1">SUMIFS(Pagamentos!$E:$E,Pagamentos!$F:$F,TRUE,Pagamentos!$C:$C,$C49,Pagamentos!$D:$D,M$2)</f>
        <v>0</v>
      </c>
      <c r="N49" s="40">
        <f ca="1">SUMIFS(Pagamentos!$E:$E,Pagamentos!$F:$F,TRUE,Pagamentos!$C:$C,$C49,Pagamentos!$D:$D,N$2)</f>
        <v>0</v>
      </c>
      <c r="O49" s="40">
        <f ca="1">SUMIFS(Pagamentos!$E:$E,Pagamentos!$F:$F,TRUE,Pagamentos!$C:$C,$C49,Pagamentos!$D:$D,O$2)</f>
        <v>0</v>
      </c>
      <c r="P49" s="40">
        <f ca="1">SUMIFS(Pagamentos!$E:$E,Pagamentos!$F:$F,TRUE,Pagamentos!$C:$C,$C49,Pagamentos!$D:$D,P$2)</f>
        <v>0</v>
      </c>
      <c r="Q49" s="41">
        <v>0</v>
      </c>
      <c r="R49" s="42">
        <f t="shared" ca="1" si="2"/>
        <v>-1</v>
      </c>
      <c r="S49" s="43" t="str">
        <f ca="1">IFERROR(__xludf.DUMMYFUNCTION("SPARKLINE(SUM(E49:P49),{""charttype"",""bar"";""max"",$S$2})"),"")</f>
        <v/>
      </c>
      <c r="T49" s="44"/>
    </row>
    <row r="50" spans="1:20" ht="16.2" outlineLevel="1">
      <c r="A50" s="24"/>
      <c r="B50" s="29" t="str">
        <f t="array" aca="1" ref="B50" ca="1">IFERROR(INDEX(#REF!,MATCH(C50,#REF!,0)),"")</f>
        <v/>
      </c>
      <c r="C50" s="100" t="str">
        <f ca="1">IFERROR(__xludf.DUMMYFUNCTION("""COMPUTED_VALUE"""),"Andréia M")</f>
        <v>Andréia M</v>
      </c>
      <c r="D50" s="100" t="str">
        <f ca="1">IFERROR(__xludf.DUMMYFUNCTION("""COMPUTED_VALUE"""),"Andréia Martins dos Santos")</f>
        <v>Andréia Martins dos Santos</v>
      </c>
      <c r="E50" s="32">
        <f ca="1">SUMIFS(Pagamentos!$E:$E,Pagamentos!$F:$F,TRUE,Pagamentos!$C:$C,$C50,Pagamentos!$D:$D,E$2)</f>
        <v>0</v>
      </c>
      <c r="F50" s="32">
        <f ca="1">SUMIFS(Pagamentos!$E:$E,Pagamentos!$F:$F,TRUE,Pagamentos!$C:$C,$C50,Pagamentos!$D:$D,F$2)</f>
        <v>40</v>
      </c>
      <c r="G50" s="32">
        <f ca="1">SUMIFS(Pagamentos!$E:$E,Pagamentos!$F:$F,TRUE,Pagamentos!$C:$C,$C50,Pagamentos!$D:$D,G$2)</f>
        <v>20</v>
      </c>
      <c r="H50" s="32">
        <f ca="1">SUMIFS(Pagamentos!$E:$E,Pagamentos!$F:$F,TRUE,Pagamentos!$C:$C,$C50,Pagamentos!$D:$D,H$2)</f>
        <v>20</v>
      </c>
      <c r="I50" s="32">
        <f ca="1">SUMIFS(Pagamentos!$E:$E,Pagamentos!$F:$F,TRUE,Pagamentos!$C:$C,$C50,Pagamentos!$D:$D,I$2)</f>
        <v>20</v>
      </c>
      <c r="J50" s="32">
        <f ca="1">SUMIFS(Pagamentos!$E:$E,Pagamentos!$F:$F,TRUE,Pagamentos!$C:$C,$C50,Pagamentos!$D:$D,J$2)</f>
        <v>20</v>
      </c>
      <c r="K50" s="32">
        <f ca="1">SUMIFS(Pagamentos!$E:$E,Pagamentos!$F:$F,TRUE,Pagamentos!$C:$C,$C50,Pagamentos!$D:$D,K$2)</f>
        <v>20</v>
      </c>
      <c r="L50" s="32">
        <f ca="1">SUMIFS(Pagamentos!$E:$E,Pagamentos!$F:$F,TRUE,Pagamentos!$C:$C,$C50,Pagamentos!$D:$D,L$2)</f>
        <v>20</v>
      </c>
      <c r="M50" s="32">
        <f ca="1">SUMIFS(Pagamentos!$E:$E,Pagamentos!$F:$F,TRUE,Pagamentos!$C:$C,$C50,Pagamentos!$D:$D,M$2)</f>
        <v>0</v>
      </c>
      <c r="N50" s="32">
        <f ca="1">SUMIFS(Pagamentos!$E:$E,Pagamentos!$F:$F,TRUE,Pagamentos!$C:$C,$C50,Pagamentos!$D:$D,N$2)</f>
        <v>0</v>
      </c>
      <c r="O50" s="32">
        <f ca="1">SUMIFS(Pagamentos!$E:$E,Pagamentos!$F:$F,TRUE,Pagamentos!$C:$C,$C50,Pagamentos!$D:$D,O$2)</f>
        <v>0</v>
      </c>
      <c r="P50" s="32">
        <f ca="1">SUMIFS(Pagamentos!$E:$E,Pagamentos!$F:$F,TRUE,Pagamentos!$C:$C,$C50,Pagamentos!$D:$D,P$2)</f>
        <v>0</v>
      </c>
      <c r="Q50" s="33">
        <v>0</v>
      </c>
      <c r="R50" s="34">
        <f t="shared" ca="1" si="2"/>
        <v>0</v>
      </c>
      <c r="S50" s="46" t="str">
        <f ca="1">IFERROR(__xludf.DUMMYFUNCTION("SPARKLINE(SUM(E50:P50),{""charttype"",""bar"";""max"",$S$2})"),"")</f>
        <v/>
      </c>
      <c r="T50" s="36"/>
    </row>
    <row r="51" spans="1:20" ht="16.2" outlineLevel="1">
      <c r="A51" s="37"/>
      <c r="B51" s="38" t="str">
        <f t="array" aca="1" ref="B51" ca="1">IFERROR(INDEX(#REF!,MATCH(C51,#REF!,0)),"")</f>
        <v/>
      </c>
      <c r="C51" s="97" t="str">
        <f ca="1">IFERROR(__xludf.DUMMYFUNCTION("""COMPUTED_VALUE"""),"Siqueira")</f>
        <v>Siqueira</v>
      </c>
      <c r="D51" s="97" t="str">
        <f ca="1">IFERROR(__xludf.DUMMYFUNCTION("""COMPUTED_VALUE"""),"Fernando Pereira Siqueira Junior ")</f>
        <v xml:space="preserve">Fernando Pereira Siqueira Junior </v>
      </c>
      <c r="E51" s="40">
        <f ca="1">SUMIFS(Pagamentos!$E:$E,Pagamentos!$F:$F,TRUE,Pagamentos!$C:$C,$C51,Pagamentos!$D:$D,E$2)</f>
        <v>20</v>
      </c>
      <c r="F51" s="40">
        <f ca="1">SUMIFS(Pagamentos!$E:$E,Pagamentos!$F:$F,TRUE,Pagamentos!$C:$C,$C51,Pagamentos!$D:$D,F$2)</f>
        <v>20</v>
      </c>
      <c r="G51" s="40">
        <f ca="1">SUMIFS(Pagamentos!$E:$E,Pagamentos!$F:$F,TRUE,Pagamentos!$C:$C,$C51,Pagamentos!$D:$D,G$2)</f>
        <v>20</v>
      </c>
      <c r="H51" s="40">
        <f ca="1">SUMIFS(Pagamentos!$E:$E,Pagamentos!$F:$F,TRUE,Pagamentos!$C:$C,$C51,Pagamentos!$D:$D,H$2)</f>
        <v>20</v>
      </c>
      <c r="I51" s="40">
        <f ca="1">SUMIFS(Pagamentos!$E:$E,Pagamentos!$F:$F,TRUE,Pagamentos!$C:$C,$C51,Pagamentos!$D:$D,I$2)</f>
        <v>20</v>
      </c>
      <c r="J51" s="40">
        <f ca="1">SUMIFS(Pagamentos!$E:$E,Pagamentos!$F:$F,TRUE,Pagamentos!$C:$C,$C51,Pagamentos!$D:$D,J$2)</f>
        <v>20</v>
      </c>
      <c r="K51" s="40">
        <f ca="1">SUMIFS(Pagamentos!$E:$E,Pagamentos!$F:$F,TRUE,Pagamentos!$C:$C,$C51,Pagamentos!$D:$D,K$2)</f>
        <v>20</v>
      </c>
      <c r="L51" s="40">
        <f ca="1">SUMIFS(Pagamentos!$E:$E,Pagamentos!$F:$F,TRUE,Pagamentos!$C:$C,$C51,Pagamentos!$D:$D,L$2)</f>
        <v>0</v>
      </c>
      <c r="M51" s="40">
        <f ca="1">SUMIFS(Pagamentos!$E:$E,Pagamentos!$F:$F,TRUE,Pagamentos!$C:$C,$C51,Pagamentos!$D:$D,M$2)</f>
        <v>0</v>
      </c>
      <c r="N51" s="40">
        <f ca="1">SUMIFS(Pagamentos!$E:$E,Pagamentos!$F:$F,TRUE,Pagamentos!$C:$C,$C51,Pagamentos!$D:$D,N$2)</f>
        <v>0</v>
      </c>
      <c r="O51" s="40">
        <f ca="1">SUMIFS(Pagamentos!$E:$E,Pagamentos!$F:$F,TRUE,Pagamentos!$C:$C,$C51,Pagamentos!$D:$D,O$2)</f>
        <v>0</v>
      </c>
      <c r="P51" s="40">
        <f ca="1">SUMIFS(Pagamentos!$E:$E,Pagamentos!$F:$F,TRUE,Pagamentos!$C:$C,$C51,Pagamentos!$D:$D,P$2)</f>
        <v>0</v>
      </c>
      <c r="Q51" s="41">
        <v>1</v>
      </c>
      <c r="R51" s="42">
        <f t="shared" ca="1" si="2"/>
        <v>0</v>
      </c>
      <c r="S51" s="43" t="str">
        <f ca="1">IFERROR(__xludf.DUMMYFUNCTION("SPARKLINE(SUM(E51:P51),{""charttype"",""bar"";""max"",$S$2})"),"")</f>
        <v/>
      </c>
      <c r="T51" s="44"/>
    </row>
    <row r="52" spans="1:20" ht="16.2" outlineLevel="1">
      <c r="A52" s="24"/>
      <c r="B52" s="29" t="str">
        <f t="array" aca="1" ref="B52" ca="1">IFERROR(INDEX(#REF!,MATCH(C52,#REF!,0)),"")</f>
        <v/>
      </c>
      <c r="C52" s="100" t="str">
        <f ca="1">IFERROR(__xludf.DUMMYFUNCTION("""COMPUTED_VALUE"""),"Gonçalves ")</f>
        <v xml:space="preserve">Gonçalves </v>
      </c>
      <c r="D52" s="100" t="str">
        <f ca="1">IFERROR(__xludf.DUMMYFUNCTION("""COMPUTED_VALUE"""),"Alessandro da Costa Gonçalves ")</f>
        <v xml:space="preserve">Alessandro da Costa Gonçalves </v>
      </c>
      <c r="E52" s="32">
        <f ca="1">SUMIFS(Pagamentos!$E:$E,Pagamentos!$F:$F,TRUE,Pagamentos!$C:$C,$C52,Pagamentos!$D:$D,E$2)</f>
        <v>0</v>
      </c>
      <c r="F52" s="32">
        <f ca="1">SUMIFS(Pagamentos!$E:$E,Pagamentos!$F:$F,TRUE,Pagamentos!$C:$C,$C52,Pagamentos!$D:$D,F$2)</f>
        <v>0</v>
      </c>
      <c r="G52" s="32">
        <f ca="1">SUMIFS(Pagamentos!$E:$E,Pagamentos!$F:$F,TRUE,Pagamentos!$C:$C,$C52,Pagamentos!$D:$D,G$2)</f>
        <v>0</v>
      </c>
      <c r="H52" s="32">
        <f ca="1">SUMIFS(Pagamentos!$E:$E,Pagamentos!$F:$F,TRUE,Pagamentos!$C:$C,$C52,Pagamentos!$D:$D,H$2)</f>
        <v>0</v>
      </c>
      <c r="I52" s="32">
        <f ca="1">SUMIFS(Pagamentos!$E:$E,Pagamentos!$F:$F,TRUE,Pagamentos!$C:$C,$C52,Pagamentos!$D:$D,I$2)</f>
        <v>100</v>
      </c>
      <c r="J52" s="32">
        <f ca="1">SUMIFS(Pagamentos!$E:$E,Pagamentos!$F:$F,TRUE,Pagamentos!$C:$C,$C52,Pagamentos!$D:$D,J$2)</f>
        <v>0</v>
      </c>
      <c r="K52" s="32">
        <f ca="1">SUMIFS(Pagamentos!$E:$E,Pagamentos!$F:$F,TRUE,Pagamentos!$C:$C,$C52,Pagamentos!$D:$D,K$2)</f>
        <v>0</v>
      </c>
      <c r="L52" s="32">
        <f ca="1">SUMIFS(Pagamentos!$E:$E,Pagamentos!$F:$F,TRUE,Pagamentos!$C:$C,$C52,Pagamentos!$D:$D,L$2)</f>
        <v>0</v>
      </c>
      <c r="M52" s="32">
        <f ca="1">SUMIFS(Pagamentos!$E:$E,Pagamentos!$F:$F,TRUE,Pagamentos!$C:$C,$C52,Pagamentos!$D:$D,M$2)</f>
        <v>0</v>
      </c>
      <c r="N52" s="32">
        <f ca="1">SUMIFS(Pagamentos!$E:$E,Pagamentos!$F:$F,TRUE,Pagamentos!$C:$C,$C52,Pagamentos!$D:$D,N$2)</f>
        <v>0</v>
      </c>
      <c r="O52" s="32">
        <f ca="1">SUMIFS(Pagamentos!$E:$E,Pagamentos!$F:$F,TRUE,Pagamentos!$C:$C,$C52,Pagamentos!$D:$D,O$2)</f>
        <v>0</v>
      </c>
      <c r="P52" s="32">
        <f ca="1">SUMIFS(Pagamentos!$E:$E,Pagamentos!$F:$F,TRUE,Pagamentos!$C:$C,$C52,Pagamentos!$D:$D,P$2)</f>
        <v>0</v>
      </c>
      <c r="Q52" s="33">
        <v>0</v>
      </c>
      <c r="R52" s="34">
        <f t="shared" ca="1" si="2"/>
        <v>-3</v>
      </c>
      <c r="S52" s="46" t="str">
        <f ca="1">IFERROR(__xludf.DUMMYFUNCTION("SPARKLINE(SUM(E52:P52),{""charttype"",""bar"";""max"",$S$2})"),"")</f>
        <v/>
      </c>
      <c r="T52" s="36"/>
    </row>
    <row r="53" spans="1:20" ht="16.2" outlineLevel="1">
      <c r="A53" s="37"/>
      <c r="B53" s="38" t="str">
        <f t="array" aca="1" ref="B53" ca="1">IFERROR(INDEX(#REF!,MATCH(C53,#REF!,0)),"")</f>
        <v/>
      </c>
      <c r="C53" s="97" t="str">
        <f ca="1">IFERROR(__xludf.DUMMYFUNCTION("""COMPUTED_VALUE"""),"Neumann ")</f>
        <v xml:space="preserve">Neumann </v>
      </c>
      <c r="D53" s="97" t="str">
        <f ca="1">IFERROR(__xludf.DUMMYFUNCTION("""COMPUTED_VALUE"""),"Misael Dias Neumann ")</f>
        <v xml:space="preserve">Misael Dias Neumann </v>
      </c>
      <c r="E53" s="40">
        <f ca="1">SUMIFS(Pagamentos!$E:$E,Pagamentos!$F:$F,TRUE,Pagamentos!$C:$C,$C53,Pagamentos!$D:$D,E$2)</f>
        <v>20</v>
      </c>
      <c r="F53" s="40">
        <f ca="1">SUMIFS(Pagamentos!$E:$E,Pagamentos!$F:$F,TRUE,Pagamentos!$C:$C,$C53,Pagamentos!$D:$D,F$2)</f>
        <v>20</v>
      </c>
      <c r="G53" s="40">
        <f ca="1">SUMIFS(Pagamentos!$E:$E,Pagamentos!$F:$F,TRUE,Pagamentos!$C:$C,$C53,Pagamentos!$D:$D,G$2)</f>
        <v>20</v>
      </c>
      <c r="H53" s="40">
        <f ca="1">SUMIFS(Pagamentos!$E:$E,Pagamentos!$F:$F,TRUE,Pagamentos!$C:$C,$C53,Pagamentos!$D:$D,H$2)</f>
        <v>0</v>
      </c>
      <c r="I53" s="40">
        <f ca="1">SUMIFS(Pagamentos!$E:$E,Pagamentos!$F:$F,TRUE,Pagamentos!$C:$C,$C53,Pagamentos!$D:$D,I$2)</f>
        <v>20</v>
      </c>
      <c r="J53" s="40">
        <f ca="1">SUMIFS(Pagamentos!$E:$E,Pagamentos!$F:$F,TRUE,Pagamentos!$C:$C,$C53,Pagamentos!$D:$D,J$2)</f>
        <v>0</v>
      </c>
      <c r="K53" s="40">
        <f ca="1">SUMIFS(Pagamentos!$E:$E,Pagamentos!$F:$F,TRUE,Pagamentos!$C:$C,$C53,Pagamentos!$D:$D,K$2)</f>
        <v>0</v>
      </c>
      <c r="L53" s="40">
        <f ca="1">SUMIFS(Pagamentos!$E:$E,Pagamentos!$F:$F,TRUE,Pagamentos!$C:$C,$C53,Pagamentos!$D:$D,L$2)</f>
        <v>20</v>
      </c>
      <c r="M53" s="40">
        <f ca="1">SUMIFS(Pagamentos!$E:$E,Pagamentos!$F:$F,TRUE,Pagamentos!$C:$C,$C53,Pagamentos!$D:$D,M$2)</f>
        <v>0</v>
      </c>
      <c r="N53" s="40">
        <f ca="1">SUMIFS(Pagamentos!$E:$E,Pagamentos!$F:$F,TRUE,Pagamentos!$C:$C,$C53,Pagamentos!$D:$D,N$2)</f>
        <v>0</v>
      </c>
      <c r="O53" s="40">
        <f ca="1">SUMIFS(Pagamentos!$E:$E,Pagamentos!$F:$F,TRUE,Pagamentos!$C:$C,$C53,Pagamentos!$D:$D,O$2)</f>
        <v>0</v>
      </c>
      <c r="P53" s="40">
        <f ca="1">SUMIFS(Pagamentos!$E:$E,Pagamentos!$F:$F,TRUE,Pagamentos!$C:$C,$C53,Pagamentos!$D:$D,P$2)</f>
        <v>0</v>
      </c>
      <c r="Q53" s="41">
        <v>1</v>
      </c>
      <c r="R53" s="42">
        <f t="shared" ca="1" si="2"/>
        <v>-2</v>
      </c>
      <c r="S53" s="43" t="str">
        <f ca="1">IFERROR(__xludf.DUMMYFUNCTION("SPARKLINE(SUM(E53:P53),{""charttype"",""bar"";""max"",$S$2})"),"")</f>
        <v/>
      </c>
      <c r="T53" s="44"/>
    </row>
    <row r="54" spans="1:20" ht="16.2" outlineLevel="1">
      <c r="A54" s="24"/>
      <c r="B54" s="29" t="str">
        <f t="array" aca="1" ref="B54" ca="1">IFERROR(INDEX(#REF!,MATCH(C54,#REF!,0)),"")</f>
        <v/>
      </c>
      <c r="C54" s="100" t="str">
        <f ca="1">IFERROR(__xludf.DUMMYFUNCTION("""COMPUTED_VALUE"""),"Luiz")</f>
        <v>Luiz</v>
      </c>
      <c r="D54" s="100" t="str">
        <f ca="1">IFERROR(__xludf.DUMMYFUNCTION("""COMPUTED_VALUE"""),"Luiz Fernando da Silva ")</f>
        <v xml:space="preserve">Luiz Fernando da Silva </v>
      </c>
      <c r="E54" s="32">
        <f ca="1">SUMIFS(Pagamentos!$E:$E,Pagamentos!$F:$F,TRUE,Pagamentos!$C:$C,$C54,Pagamentos!$D:$D,E$2)</f>
        <v>20</v>
      </c>
      <c r="F54" s="32">
        <f ca="1">SUMIFS(Pagamentos!$E:$E,Pagamentos!$F:$F,TRUE,Pagamentos!$C:$C,$C54,Pagamentos!$D:$D,F$2)</f>
        <v>20</v>
      </c>
      <c r="G54" s="32">
        <f ca="1">SUMIFS(Pagamentos!$E:$E,Pagamentos!$F:$F,TRUE,Pagamentos!$C:$C,$C54,Pagamentos!$D:$D,G$2)</f>
        <v>20</v>
      </c>
      <c r="H54" s="32">
        <f ca="1">SUMIFS(Pagamentos!$E:$E,Pagamentos!$F:$F,TRUE,Pagamentos!$C:$C,$C54,Pagamentos!$D:$D,H$2)</f>
        <v>20</v>
      </c>
      <c r="I54" s="32">
        <f ca="1">SUMIFS(Pagamentos!$E:$E,Pagamentos!$F:$F,TRUE,Pagamentos!$C:$C,$C54,Pagamentos!$D:$D,I$2)</f>
        <v>20</v>
      </c>
      <c r="J54" s="32">
        <f ca="1">SUMIFS(Pagamentos!$E:$E,Pagamentos!$F:$F,TRUE,Pagamentos!$C:$C,$C54,Pagamentos!$D:$D,J$2)</f>
        <v>20</v>
      </c>
      <c r="K54" s="32">
        <f ca="1">SUMIFS(Pagamentos!$E:$E,Pagamentos!$F:$F,TRUE,Pagamentos!$C:$C,$C54,Pagamentos!$D:$D,K$2)</f>
        <v>20</v>
      </c>
      <c r="L54" s="32">
        <f ca="1">SUMIFS(Pagamentos!$E:$E,Pagamentos!$F:$F,TRUE,Pagamentos!$C:$C,$C54,Pagamentos!$D:$D,L$2)</f>
        <v>20</v>
      </c>
      <c r="M54" s="32">
        <f ca="1">SUMIFS(Pagamentos!$E:$E,Pagamentos!$F:$F,TRUE,Pagamentos!$C:$C,$C54,Pagamentos!$D:$D,M$2)</f>
        <v>0</v>
      </c>
      <c r="N54" s="32">
        <f ca="1">SUMIFS(Pagamentos!$E:$E,Pagamentos!$F:$F,TRUE,Pagamentos!$C:$C,$C54,Pagamentos!$D:$D,N$2)</f>
        <v>0</v>
      </c>
      <c r="O54" s="32">
        <f ca="1">SUMIFS(Pagamentos!$E:$E,Pagamentos!$F:$F,TRUE,Pagamentos!$C:$C,$C54,Pagamentos!$D:$D,O$2)</f>
        <v>0</v>
      </c>
      <c r="P54" s="32">
        <f ca="1">SUMIFS(Pagamentos!$E:$E,Pagamentos!$F:$F,TRUE,Pagamentos!$C:$C,$C54,Pagamentos!$D:$D,P$2)</f>
        <v>0</v>
      </c>
      <c r="Q54" s="33">
        <v>0</v>
      </c>
      <c r="R54" s="34">
        <f t="shared" ca="1" si="2"/>
        <v>0</v>
      </c>
      <c r="S54" s="46" t="str">
        <f ca="1">IFERROR(__xludf.DUMMYFUNCTION("SPARKLINE(SUM(E54:P54),{""charttype"",""bar"";""max"",$S$2})"),"")</f>
        <v/>
      </c>
      <c r="T54" s="36"/>
    </row>
    <row r="55" spans="1:20" ht="16.2" outlineLevel="1">
      <c r="A55" s="37"/>
      <c r="B55" s="38" t="str">
        <f t="array" aca="1" ref="B55" ca="1">IFERROR(INDEX(#REF!,MATCH(C55,#REF!,0)),"")</f>
        <v/>
      </c>
      <c r="C55" s="97" t="str">
        <f ca="1">IFERROR(__xludf.DUMMYFUNCTION("""COMPUTED_VALUE"""),"Figueiredo")</f>
        <v>Figueiredo</v>
      </c>
      <c r="D55" s="97" t="str">
        <f ca="1">IFERROR(__xludf.DUMMYFUNCTION("""COMPUTED_VALUE"""),"João Victor Figueiredo Chrostowski")</f>
        <v>João Victor Figueiredo Chrostowski</v>
      </c>
      <c r="E55" s="40">
        <f ca="1">SUMIFS(Pagamentos!$E:$E,Pagamentos!$F:$F,TRUE,Pagamentos!$C:$C,$C55,Pagamentos!$D:$D,E$2)</f>
        <v>0</v>
      </c>
      <c r="F55" s="40">
        <f ca="1">SUMIFS(Pagamentos!$E:$E,Pagamentos!$F:$F,TRUE,Pagamentos!$C:$C,$C55,Pagamentos!$D:$D,F$2)</f>
        <v>20</v>
      </c>
      <c r="G55" s="40">
        <f ca="1">SUMIFS(Pagamentos!$E:$E,Pagamentos!$F:$F,TRUE,Pagamentos!$C:$C,$C55,Pagamentos!$D:$D,G$2)</f>
        <v>20</v>
      </c>
      <c r="H55" s="40">
        <f ca="1">SUMIFS(Pagamentos!$E:$E,Pagamentos!$F:$F,TRUE,Pagamentos!$C:$C,$C55,Pagamentos!$D:$D,H$2)</f>
        <v>0</v>
      </c>
      <c r="I55" s="40">
        <f ca="1">SUMIFS(Pagamentos!$E:$E,Pagamentos!$F:$F,TRUE,Pagamentos!$C:$C,$C55,Pagamentos!$D:$D,I$2)</f>
        <v>20</v>
      </c>
      <c r="J55" s="40">
        <f ca="1">SUMIFS(Pagamentos!$E:$E,Pagamentos!$F:$F,TRUE,Pagamentos!$C:$C,$C55,Pagamentos!$D:$D,J$2)</f>
        <v>40</v>
      </c>
      <c r="K55" s="40">
        <f ca="1">SUMIFS(Pagamentos!$E:$E,Pagamentos!$F:$F,TRUE,Pagamentos!$C:$C,$C55,Pagamentos!$D:$D,K$2)</f>
        <v>0</v>
      </c>
      <c r="L55" s="40">
        <f ca="1">SUMIFS(Pagamentos!$E:$E,Pagamentos!$F:$F,TRUE,Pagamentos!$C:$C,$C55,Pagamentos!$D:$D,L$2)</f>
        <v>0</v>
      </c>
      <c r="M55" s="40">
        <f ca="1">SUMIFS(Pagamentos!$E:$E,Pagamentos!$F:$F,TRUE,Pagamentos!$C:$C,$C55,Pagamentos!$D:$D,M$2)</f>
        <v>0</v>
      </c>
      <c r="N55" s="40">
        <f ca="1">SUMIFS(Pagamentos!$E:$E,Pagamentos!$F:$F,TRUE,Pagamentos!$C:$C,$C55,Pagamentos!$D:$D,N$2)</f>
        <v>0</v>
      </c>
      <c r="O55" s="40">
        <f ca="1">SUMIFS(Pagamentos!$E:$E,Pagamentos!$F:$F,TRUE,Pagamentos!$C:$C,$C55,Pagamentos!$D:$D,O$2)</f>
        <v>0</v>
      </c>
      <c r="P55" s="40">
        <f ca="1">SUMIFS(Pagamentos!$E:$E,Pagamentos!$F:$F,TRUE,Pagamentos!$C:$C,$C55,Pagamentos!$D:$D,P$2)</f>
        <v>0</v>
      </c>
      <c r="Q55" s="41">
        <v>1</v>
      </c>
      <c r="R55" s="42">
        <f t="shared" ca="1" si="2"/>
        <v>-2</v>
      </c>
      <c r="S55" s="43" t="str">
        <f ca="1">IFERROR(__xludf.DUMMYFUNCTION("SPARKLINE(SUM(E55:P55),{""charttype"",""bar"";""max"",$S$2})"),"")</f>
        <v/>
      </c>
      <c r="T55" s="44"/>
    </row>
    <row r="56" spans="1:20" ht="16.2" outlineLevel="1">
      <c r="A56" s="72"/>
      <c r="B56" s="29" t="str">
        <f t="array" aca="1" ref="B56" ca="1">IFERROR(INDEX(#REF!,MATCH(C56,#REF!,0)),"")</f>
        <v/>
      </c>
      <c r="C56" s="100" t="str">
        <f ca="1">IFERROR(__xludf.DUMMYFUNCTION("""COMPUTED_VALUE"""),"Luciano")</f>
        <v>Luciano</v>
      </c>
      <c r="D56" s="100" t="str">
        <f ca="1">IFERROR(__xludf.DUMMYFUNCTION("""COMPUTED_VALUE"""),"LUCIANO PEREIRA")</f>
        <v>LUCIANO PEREIRA</v>
      </c>
      <c r="E56" s="32">
        <f ca="1">SUMIFS(Pagamentos!$E:$E,Pagamentos!$F:$F,TRUE,Pagamentos!$C:$C,$C56,Pagamentos!$D:$D,E$2)</f>
        <v>0</v>
      </c>
      <c r="F56" s="32">
        <f ca="1">SUMIFS(Pagamentos!$E:$E,Pagamentos!$F:$F,TRUE,Pagamentos!$C:$C,$C56,Pagamentos!$D:$D,F$2)</f>
        <v>0</v>
      </c>
      <c r="G56" s="32">
        <f ca="1">SUMIFS(Pagamentos!$E:$E,Pagamentos!$F:$F,TRUE,Pagamentos!$C:$C,$C56,Pagamentos!$D:$D,G$2)</f>
        <v>40</v>
      </c>
      <c r="H56" s="32">
        <f ca="1">SUMIFS(Pagamentos!$E:$E,Pagamentos!$F:$F,TRUE,Pagamentos!$C:$C,$C56,Pagamentos!$D:$D,H$2)</f>
        <v>0</v>
      </c>
      <c r="I56" s="32">
        <f ca="1">SUMIFS(Pagamentos!$E:$E,Pagamentos!$F:$F,TRUE,Pagamentos!$C:$C,$C56,Pagamentos!$D:$D,I$2)</f>
        <v>80</v>
      </c>
      <c r="J56" s="32">
        <f ca="1">SUMIFS(Pagamentos!$E:$E,Pagamentos!$F:$F,TRUE,Pagamentos!$C:$C,$C56,Pagamentos!$D:$D,J$2)</f>
        <v>60</v>
      </c>
      <c r="K56" s="32">
        <f ca="1">SUMIFS(Pagamentos!$E:$E,Pagamentos!$F:$F,TRUE,Pagamentos!$C:$C,$C56,Pagamentos!$D:$D,K$2)</f>
        <v>0</v>
      </c>
      <c r="L56" s="32">
        <f ca="1">SUMIFS(Pagamentos!$E:$E,Pagamentos!$F:$F,TRUE,Pagamentos!$C:$C,$C56,Pagamentos!$D:$D,L$2)</f>
        <v>0</v>
      </c>
      <c r="M56" s="32">
        <f ca="1">SUMIFS(Pagamentos!$E:$E,Pagamentos!$F:$F,TRUE,Pagamentos!$C:$C,$C56,Pagamentos!$D:$D,M$2)</f>
        <v>0</v>
      </c>
      <c r="N56" s="32">
        <f ca="1">SUMIFS(Pagamentos!$E:$E,Pagamentos!$F:$F,TRUE,Pagamentos!$C:$C,$C56,Pagamentos!$D:$D,N$2)</f>
        <v>0</v>
      </c>
      <c r="O56" s="32">
        <f ca="1">SUMIFS(Pagamentos!$E:$E,Pagamentos!$F:$F,TRUE,Pagamentos!$C:$C,$C56,Pagamentos!$D:$D,O$2)</f>
        <v>0</v>
      </c>
      <c r="P56" s="32">
        <f ca="1">SUMIFS(Pagamentos!$E:$E,Pagamentos!$F:$F,TRUE,Pagamentos!$C:$C,$C56,Pagamentos!$D:$D,P$2)</f>
        <v>0</v>
      </c>
      <c r="Q56" s="33">
        <v>1</v>
      </c>
      <c r="R56" s="34">
        <f t="shared" ca="1" si="2"/>
        <v>2</v>
      </c>
      <c r="S56" s="73" t="str">
        <f ca="1">IFERROR(__xludf.DUMMYFUNCTION("SPARKLINE(SUM(E56:P56),{""charttype"",""bar"";""max"",$S$2})"),"")</f>
        <v/>
      </c>
      <c r="T56" s="74"/>
    </row>
    <row r="57" spans="1:20" ht="16.2" outlineLevel="1">
      <c r="A57" s="37"/>
      <c r="B57" s="38" t="str">
        <f t="array" aca="1" ref="B57" ca="1">IFERROR(INDEX(#REF!,MATCH(C57,#REF!,0)),"")</f>
        <v/>
      </c>
      <c r="C57" s="97" t="str">
        <f ca="1">IFERROR(__xludf.DUMMYFUNCTION("""COMPUTED_VALUE"""),"Cardoso")</f>
        <v>Cardoso</v>
      </c>
      <c r="D57" s="97" t="str">
        <f ca="1">IFERROR(__xludf.DUMMYFUNCTION("""COMPUTED_VALUE"""),"Claudio cardoso")</f>
        <v>Claudio cardoso</v>
      </c>
      <c r="E57" s="40">
        <f ca="1">SUMIFS(Pagamentos!$E:$E,Pagamentos!$F:$F,TRUE,Pagamentos!$C:$C,$C57,Pagamentos!$D:$D,E$2)</f>
        <v>0</v>
      </c>
      <c r="F57" s="40">
        <f ca="1">SUMIFS(Pagamentos!$E:$E,Pagamentos!$F:$F,TRUE,Pagamentos!$C:$C,$C57,Pagamentos!$D:$D,F$2)</f>
        <v>20</v>
      </c>
      <c r="G57" s="40">
        <f ca="1">SUMIFS(Pagamentos!$E:$E,Pagamentos!$F:$F,TRUE,Pagamentos!$C:$C,$C57,Pagamentos!$D:$D,G$2)</f>
        <v>20</v>
      </c>
      <c r="H57" s="40">
        <f ca="1">SUMIFS(Pagamentos!$E:$E,Pagamentos!$F:$F,TRUE,Pagamentos!$C:$C,$C57,Pagamentos!$D:$D,H$2)</f>
        <v>20</v>
      </c>
      <c r="I57" s="40">
        <f ca="1">SUMIFS(Pagamentos!$E:$E,Pagamentos!$F:$F,TRUE,Pagamentos!$C:$C,$C57,Pagamentos!$D:$D,I$2)</f>
        <v>0</v>
      </c>
      <c r="J57" s="40">
        <f ca="1">SUMIFS(Pagamentos!$E:$E,Pagamentos!$F:$F,TRUE,Pagamentos!$C:$C,$C57,Pagamentos!$D:$D,J$2)</f>
        <v>80</v>
      </c>
      <c r="K57" s="40">
        <f ca="1">SUMIFS(Pagamentos!$E:$E,Pagamentos!$F:$F,TRUE,Pagamentos!$C:$C,$C57,Pagamentos!$D:$D,K$2)</f>
        <v>0</v>
      </c>
      <c r="L57" s="40">
        <f ca="1">SUMIFS(Pagamentos!$E:$E,Pagamentos!$F:$F,TRUE,Pagamentos!$C:$C,$C57,Pagamentos!$D:$D,L$2)</f>
        <v>0</v>
      </c>
      <c r="M57" s="40">
        <f ca="1">SUMIFS(Pagamentos!$E:$E,Pagamentos!$F:$F,TRUE,Pagamentos!$C:$C,$C57,Pagamentos!$D:$D,M$2)</f>
        <v>0</v>
      </c>
      <c r="N57" s="40">
        <f ca="1">SUMIFS(Pagamentos!$E:$E,Pagamentos!$F:$F,TRUE,Pagamentos!$C:$C,$C57,Pagamentos!$D:$D,N$2)</f>
        <v>0</v>
      </c>
      <c r="O57" s="40">
        <f ca="1">SUMIFS(Pagamentos!$E:$E,Pagamentos!$F:$F,TRUE,Pagamentos!$C:$C,$C57,Pagamentos!$D:$D,O$2)</f>
        <v>0</v>
      </c>
      <c r="P57" s="40">
        <f ca="1">SUMIFS(Pagamentos!$E:$E,Pagamentos!$F:$F,TRUE,Pagamentos!$C:$C,$C57,Pagamentos!$D:$D,P$2)</f>
        <v>0</v>
      </c>
      <c r="Q57" s="41">
        <v>1</v>
      </c>
      <c r="R57" s="42">
        <f t="shared" ca="1" si="2"/>
        <v>0</v>
      </c>
      <c r="S57" s="43" t="str">
        <f ca="1">IFERROR(__xludf.DUMMYFUNCTION("SPARKLINE(SUM(E57:P57),{""charttype"",""bar"";""max"",$S$2})"),"")</f>
        <v/>
      </c>
      <c r="T57" s="44"/>
    </row>
    <row r="58" spans="1:20" ht="16.2" outlineLevel="1">
      <c r="A58" s="24"/>
      <c r="B58" s="29" t="str">
        <f t="array" aca="1" ref="B58" ca="1">IFERROR(INDEX(#REF!,MATCH(C58,#REF!,0)),"")</f>
        <v/>
      </c>
      <c r="C58" s="100" t="str">
        <f ca="1">IFERROR(__xludf.DUMMYFUNCTION("""COMPUTED_VALUE"""),"Carvalho ")</f>
        <v xml:space="preserve">Carvalho </v>
      </c>
      <c r="D58" s="100" t="str">
        <f ca="1">IFERROR(__xludf.DUMMYFUNCTION("""COMPUTED_VALUE"""),"Diego Carvalho Cordova ")</f>
        <v xml:space="preserve">Diego Carvalho Cordova </v>
      </c>
      <c r="E58" s="32">
        <f ca="1">SUMIFS(Pagamentos!$E:$E,Pagamentos!$F:$F,TRUE,Pagamentos!$C:$C,$C58,Pagamentos!$D:$D,E$2)</f>
        <v>0</v>
      </c>
      <c r="F58" s="32">
        <f ca="1">SUMIFS(Pagamentos!$E:$E,Pagamentos!$F:$F,TRUE,Pagamentos!$C:$C,$C58,Pagamentos!$D:$D,F$2)</f>
        <v>20</v>
      </c>
      <c r="G58" s="32">
        <f ca="1">SUMIFS(Pagamentos!$E:$E,Pagamentos!$F:$F,TRUE,Pagamentos!$C:$C,$C58,Pagamentos!$D:$D,G$2)</f>
        <v>20</v>
      </c>
      <c r="H58" s="32">
        <f ca="1">SUMIFS(Pagamentos!$E:$E,Pagamentos!$F:$F,TRUE,Pagamentos!$C:$C,$C58,Pagamentos!$D:$D,H$2)</f>
        <v>0</v>
      </c>
      <c r="I58" s="32">
        <f ca="1">SUMIFS(Pagamentos!$E:$E,Pagamentos!$F:$F,TRUE,Pagamentos!$C:$C,$C58,Pagamentos!$D:$D,I$2)</f>
        <v>0</v>
      </c>
      <c r="J58" s="32">
        <f ca="1">SUMIFS(Pagamentos!$E:$E,Pagamentos!$F:$F,TRUE,Pagamentos!$C:$C,$C58,Pagamentos!$D:$D,J$2)</f>
        <v>0</v>
      </c>
      <c r="K58" s="32">
        <f ca="1">SUMIFS(Pagamentos!$E:$E,Pagamentos!$F:$F,TRUE,Pagamentos!$C:$C,$C58,Pagamentos!$D:$D,K$2)</f>
        <v>0</v>
      </c>
      <c r="L58" s="32">
        <f ca="1">SUMIFS(Pagamentos!$E:$E,Pagamentos!$F:$F,TRUE,Pagamentos!$C:$C,$C58,Pagamentos!$D:$D,L$2)</f>
        <v>0</v>
      </c>
      <c r="M58" s="32">
        <f ca="1">SUMIFS(Pagamentos!$E:$E,Pagamentos!$F:$F,TRUE,Pagamentos!$C:$C,$C58,Pagamentos!$D:$D,M$2)</f>
        <v>0</v>
      </c>
      <c r="N58" s="32">
        <f ca="1">SUMIFS(Pagamentos!$E:$E,Pagamentos!$F:$F,TRUE,Pagamentos!$C:$C,$C58,Pagamentos!$D:$D,N$2)</f>
        <v>0</v>
      </c>
      <c r="O58" s="32">
        <f ca="1">SUMIFS(Pagamentos!$E:$E,Pagamentos!$F:$F,TRUE,Pagamentos!$C:$C,$C58,Pagamentos!$D:$D,O$2)</f>
        <v>0</v>
      </c>
      <c r="P58" s="32">
        <f ca="1">SUMIFS(Pagamentos!$E:$E,Pagamentos!$F:$F,TRUE,Pagamentos!$C:$C,$C58,Pagamentos!$D:$D,P$2)</f>
        <v>0</v>
      </c>
      <c r="Q58" s="33">
        <v>1</v>
      </c>
      <c r="R58" s="34">
        <f t="shared" ca="1" si="2"/>
        <v>-5</v>
      </c>
      <c r="S58" s="46" t="str">
        <f ca="1">IFERROR(__xludf.DUMMYFUNCTION("SPARKLINE(SUM(E58:P58),{""charttype"",""bar"";""max"",$S$2})"),"")</f>
        <v/>
      </c>
      <c r="T58" s="36"/>
    </row>
    <row r="59" spans="1:20" ht="16.2" outlineLevel="1">
      <c r="A59" s="37"/>
      <c r="B59" s="38" t="str">
        <f t="array" aca="1" ref="B59" ca="1">IFERROR(INDEX(#REF!,MATCH(C59,#REF!,0)),"")</f>
        <v/>
      </c>
      <c r="C59" s="97" t="str">
        <f ca="1">IFERROR(__xludf.DUMMYFUNCTION("""COMPUTED_VALUE"""),"Bunn")</f>
        <v>Bunn</v>
      </c>
      <c r="D59" s="97" t="str">
        <f ca="1">IFERROR(__xludf.DUMMYFUNCTION("""COMPUTED_VALUE"""),"João Pedro Pereira Bunn")</f>
        <v>João Pedro Pereira Bunn</v>
      </c>
      <c r="E59" s="40">
        <f ca="1">SUMIFS(Pagamentos!$E:$E,Pagamentos!$F:$F,TRUE,Pagamentos!$C:$C,$C59,Pagamentos!$D:$D,E$2)</f>
        <v>0</v>
      </c>
      <c r="F59" s="40">
        <f ca="1">SUMIFS(Pagamentos!$E:$E,Pagamentos!$F:$F,TRUE,Pagamentos!$C:$C,$C59,Pagamentos!$D:$D,F$2)</f>
        <v>0</v>
      </c>
      <c r="G59" s="40">
        <f ca="1">SUMIFS(Pagamentos!$E:$E,Pagamentos!$F:$F,TRUE,Pagamentos!$C:$C,$C59,Pagamentos!$D:$D,G$2)</f>
        <v>40</v>
      </c>
      <c r="H59" s="40">
        <f ca="1">SUMIFS(Pagamentos!$E:$E,Pagamentos!$F:$F,TRUE,Pagamentos!$C:$C,$C59,Pagamentos!$D:$D,H$2)</f>
        <v>20</v>
      </c>
      <c r="I59" s="40">
        <f ca="1">SUMIFS(Pagamentos!$E:$E,Pagamentos!$F:$F,TRUE,Pagamentos!$C:$C,$C59,Pagamentos!$D:$D,I$2)</f>
        <v>20</v>
      </c>
      <c r="J59" s="40">
        <f ca="1">SUMIFS(Pagamentos!$E:$E,Pagamentos!$F:$F,TRUE,Pagamentos!$C:$C,$C59,Pagamentos!$D:$D,J$2)</f>
        <v>20</v>
      </c>
      <c r="K59" s="40">
        <f ca="1">SUMIFS(Pagamentos!$E:$E,Pagamentos!$F:$F,TRUE,Pagamentos!$C:$C,$C59,Pagamentos!$D:$D,K$2)</f>
        <v>20</v>
      </c>
      <c r="L59" s="40">
        <f ca="1">SUMIFS(Pagamentos!$E:$E,Pagamentos!$F:$F,TRUE,Pagamentos!$C:$C,$C59,Pagamentos!$D:$D,L$2)</f>
        <v>0</v>
      </c>
      <c r="M59" s="40">
        <f ca="1">SUMIFS(Pagamentos!$E:$E,Pagamentos!$F:$F,TRUE,Pagamentos!$C:$C,$C59,Pagamentos!$D:$D,M$2)</f>
        <v>0</v>
      </c>
      <c r="N59" s="40">
        <f ca="1">SUMIFS(Pagamentos!$E:$E,Pagamentos!$F:$F,TRUE,Pagamentos!$C:$C,$C59,Pagamentos!$D:$D,N$2)</f>
        <v>0</v>
      </c>
      <c r="O59" s="40">
        <f ca="1">SUMIFS(Pagamentos!$E:$E,Pagamentos!$F:$F,TRUE,Pagamentos!$C:$C,$C59,Pagamentos!$D:$D,O$2)</f>
        <v>0</v>
      </c>
      <c r="P59" s="40">
        <f ca="1">SUMIFS(Pagamentos!$E:$E,Pagamentos!$F:$F,TRUE,Pagamentos!$C:$C,$C59,Pagamentos!$D:$D,P$2)</f>
        <v>0</v>
      </c>
      <c r="Q59" s="41">
        <v>1</v>
      </c>
      <c r="R59" s="42">
        <f t="shared" ca="1" si="2"/>
        <v>-1</v>
      </c>
      <c r="S59" s="43" t="str">
        <f ca="1">IFERROR(__xludf.DUMMYFUNCTION("SPARKLINE(SUM(E59:P59),{""charttype"",""bar"";""max"",$S$2})"),"")</f>
        <v/>
      </c>
      <c r="T59" s="44"/>
    </row>
    <row r="60" spans="1:20" ht="16.2" outlineLevel="1">
      <c r="A60" s="24"/>
      <c r="B60" s="29" t="str">
        <f t="array" aca="1" ref="B60" ca="1">IFERROR(INDEX(#REF!,MATCH(C60,#REF!,0)),"")</f>
        <v/>
      </c>
      <c r="C60" s="100" t="str">
        <f ca="1">IFERROR(__xludf.DUMMYFUNCTION("""COMPUTED_VALUE"""),"Costa ")</f>
        <v xml:space="preserve">Costa </v>
      </c>
      <c r="D60" s="100" t="str">
        <f ca="1">IFERROR(__xludf.DUMMYFUNCTION("""COMPUTED_VALUE"""),"Vanessa David Costa ")</f>
        <v xml:space="preserve">Vanessa David Costa </v>
      </c>
      <c r="E60" s="32">
        <f ca="1">SUMIFS(Pagamentos!$E:$E,Pagamentos!$F:$F,TRUE,Pagamentos!$C:$C,$C60,Pagamentos!$D:$D,E$2)</f>
        <v>0</v>
      </c>
      <c r="F60" s="32">
        <f ca="1">SUMIFS(Pagamentos!$E:$E,Pagamentos!$F:$F,TRUE,Pagamentos!$C:$C,$C60,Pagamentos!$D:$D,F$2)</f>
        <v>0</v>
      </c>
      <c r="G60" s="32">
        <f ca="1">SUMIFS(Pagamentos!$E:$E,Pagamentos!$F:$F,TRUE,Pagamentos!$C:$C,$C60,Pagamentos!$D:$D,G$2)</f>
        <v>20</v>
      </c>
      <c r="H60" s="32">
        <f ca="1">SUMIFS(Pagamentos!$E:$E,Pagamentos!$F:$F,TRUE,Pagamentos!$C:$C,$C60,Pagamentos!$D:$D,H$2)</f>
        <v>40</v>
      </c>
      <c r="I60" s="32">
        <f ca="1">SUMIFS(Pagamentos!$E:$E,Pagamentos!$F:$F,TRUE,Pagamentos!$C:$C,$C60,Pagamentos!$D:$D,I$2)</f>
        <v>0</v>
      </c>
      <c r="J60" s="32">
        <f ca="1">SUMIFS(Pagamentos!$E:$E,Pagamentos!$F:$F,TRUE,Pagamentos!$C:$C,$C60,Pagamentos!$D:$D,J$2)</f>
        <v>20</v>
      </c>
      <c r="K60" s="32">
        <f ca="1">SUMIFS(Pagamentos!$E:$E,Pagamentos!$F:$F,TRUE,Pagamentos!$C:$C,$C60,Pagamentos!$D:$D,K$2)</f>
        <v>20</v>
      </c>
      <c r="L60" s="32">
        <f ca="1">SUMIFS(Pagamentos!$E:$E,Pagamentos!$F:$F,TRUE,Pagamentos!$C:$C,$C60,Pagamentos!$D:$D,L$2)</f>
        <v>0</v>
      </c>
      <c r="M60" s="32">
        <f ca="1">SUMIFS(Pagamentos!$E:$E,Pagamentos!$F:$F,TRUE,Pagamentos!$C:$C,$C60,Pagamentos!$D:$D,M$2)</f>
        <v>0</v>
      </c>
      <c r="N60" s="32">
        <f ca="1">SUMIFS(Pagamentos!$E:$E,Pagamentos!$F:$F,TRUE,Pagamentos!$C:$C,$C60,Pagamentos!$D:$D,N$2)</f>
        <v>0</v>
      </c>
      <c r="O60" s="32">
        <f ca="1">SUMIFS(Pagamentos!$E:$E,Pagamentos!$F:$F,TRUE,Pagamentos!$C:$C,$C60,Pagamentos!$D:$D,O$2)</f>
        <v>0</v>
      </c>
      <c r="P60" s="32">
        <f ca="1">SUMIFS(Pagamentos!$E:$E,Pagamentos!$F:$F,TRUE,Pagamentos!$C:$C,$C60,Pagamentos!$D:$D,P$2)</f>
        <v>0</v>
      </c>
      <c r="Q60" s="33">
        <v>1</v>
      </c>
      <c r="R60" s="34">
        <f t="shared" ca="1" si="2"/>
        <v>-2</v>
      </c>
      <c r="S60" s="46" t="str">
        <f ca="1">IFERROR(__xludf.DUMMYFUNCTION("SPARKLINE(SUM(E60:P60),{""charttype"",""bar"";""max"",$S$2})"),"")</f>
        <v/>
      </c>
      <c r="T60" s="36"/>
    </row>
    <row r="61" spans="1:20" ht="16.2" outlineLevel="1">
      <c r="A61" s="37"/>
      <c r="B61" s="38" t="str">
        <f t="array" aca="1" ref="B61" ca="1">IFERROR(INDEX(#REF!,MATCH(C61,#REF!,0)),"")</f>
        <v/>
      </c>
      <c r="C61" s="97" t="str">
        <f ca="1">IFERROR(__xludf.DUMMYFUNCTION("""COMPUTED_VALUE"""),"Sofie")</f>
        <v>Sofie</v>
      </c>
      <c r="D61" s="97" t="str">
        <f ca="1">IFERROR(__xludf.DUMMYFUNCTION("""COMPUTED_VALUE"""),"Izabelle Sofie Luiz ")</f>
        <v xml:space="preserve">Izabelle Sofie Luiz </v>
      </c>
      <c r="E61" s="40">
        <f ca="1">SUMIFS(Pagamentos!$E:$E,Pagamentos!$F:$F,TRUE,Pagamentos!$C:$C,$C61,Pagamentos!$D:$D,E$2)</f>
        <v>0</v>
      </c>
      <c r="F61" s="40">
        <f ca="1">SUMIFS(Pagamentos!$E:$E,Pagamentos!$F:$F,TRUE,Pagamentos!$C:$C,$C61,Pagamentos!$D:$D,F$2)</f>
        <v>0</v>
      </c>
      <c r="G61" s="40">
        <f ca="1">SUMIFS(Pagamentos!$E:$E,Pagamentos!$F:$F,TRUE,Pagamentos!$C:$C,$C61,Pagamentos!$D:$D,G$2)</f>
        <v>40</v>
      </c>
      <c r="H61" s="40">
        <f ca="1">SUMIFS(Pagamentos!$E:$E,Pagamentos!$F:$F,TRUE,Pagamentos!$C:$C,$C61,Pagamentos!$D:$D,H$2)</f>
        <v>20</v>
      </c>
      <c r="I61" s="40">
        <f ca="1">SUMIFS(Pagamentos!$E:$E,Pagamentos!$F:$F,TRUE,Pagamentos!$C:$C,$C61,Pagamentos!$D:$D,I$2)</f>
        <v>20</v>
      </c>
      <c r="J61" s="40">
        <f ca="1">SUMIFS(Pagamentos!$E:$E,Pagamentos!$F:$F,TRUE,Pagamentos!$C:$C,$C61,Pagamentos!$D:$D,J$2)</f>
        <v>20</v>
      </c>
      <c r="K61" s="40">
        <f ca="1">SUMIFS(Pagamentos!$E:$E,Pagamentos!$F:$F,TRUE,Pagamentos!$C:$C,$C61,Pagamentos!$D:$D,K$2)</f>
        <v>20</v>
      </c>
      <c r="L61" s="40">
        <f ca="1">SUMIFS(Pagamentos!$E:$E,Pagamentos!$F:$F,TRUE,Pagamentos!$C:$C,$C61,Pagamentos!$D:$D,L$2)</f>
        <v>20</v>
      </c>
      <c r="M61" s="40">
        <f ca="1">SUMIFS(Pagamentos!$E:$E,Pagamentos!$F:$F,TRUE,Pagamentos!$C:$C,$C61,Pagamentos!$D:$D,M$2)</f>
        <v>0</v>
      </c>
      <c r="N61" s="40">
        <f ca="1">SUMIFS(Pagamentos!$E:$E,Pagamentos!$F:$F,TRUE,Pagamentos!$C:$C,$C61,Pagamentos!$D:$D,N$2)</f>
        <v>0</v>
      </c>
      <c r="O61" s="40">
        <f ca="1">SUMIFS(Pagamentos!$E:$E,Pagamentos!$F:$F,TRUE,Pagamentos!$C:$C,$C61,Pagamentos!$D:$D,O$2)</f>
        <v>0</v>
      </c>
      <c r="P61" s="40">
        <f ca="1">SUMIFS(Pagamentos!$E:$E,Pagamentos!$F:$F,TRUE,Pagamentos!$C:$C,$C61,Pagamentos!$D:$D,P$2)</f>
        <v>0</v>
      </c>
      <c r="Q61" s="41">
        <v>1</v>
      </c>
      <c r="R61" s="42">
        <f t="shared" ca="1" si="2"/>
        <v>0</v>
      </c>
      <c r="S61" s="43" t="str">
        <f ca="1">IFERROR(__xludf.DUMMYFUNCTION("SPARKLINE(SUM(E61:P61),{""charttype"",""bar"";""max"",$S$2})"),"")</f>
        <v/>
      </c>
      <c r="T61" s="44"/>
    </row>
    <row r="62" spans="1:20" ht="16.2" outlineLevel="1">
      <c r="A62" s="76"/>
      <c r="B62" s="29" t="str">
        <f t="array" aca="1" ref="B62" ca="1">IFERROR(INDEX(#REF!,MATCH(C62,#REF!,0)),"")</f>
        <v/>
      </c>
      <c r="C62" s="100" t="str">
        <f ca="1">IFERROR(__xludf.DUMMYFUNCTION("""COMPUTED_VALUE"""),"Fabian")</f>
        <v>Fabian</v>
      </c>
      <c r="D62" s="100" t="str">
        <f ca="1">IFERROR(__xludf.DUMMYFUNCTION("""COMPUTED_VALUE"""),"Fabian Henrique da Silva ")</f>
        <v xml:space="preserve">Fabian Henrique da Silva </v>
      </c>
      <c r="E62" s="32">
        <f ca="1">SUMIFS(Pagamentos!$E:$E,Pagamentos!$F:$F,TRUE,Pagamentos!$C:$C,$C62,Pagamentos!$D:$D,E$2)</f>
        <v>0</v>
      </c>
      <c r="F62" s="32">
        <f ca="1">SUMIFS(Pagamentos!$E:$E,Pagamentos!$F:$F,TRUE,Pagamentos!$C:$C,$C62,Pagamentos!$D:$D,F$2)</f>
        <v>0</v>
      </c>
      <c r="G62" s="32">
        <f ca="1">SUMIFS(Pagamentos!$E:$E,Pagamentos!$F:$F,TRUE,Pagamentos!$C:$C,$C62,Pagamentos!$D:$D,G$2)</f>
        <v>0</v>
      </c>
      <c r="H62" s="32">
        <f ca="1">SUMIFS(Pagamentos!$E:$E,Pagamentos!$F:$F,TRUE,Pagamentos!$C:$C,$C62,Pagamentos!$D:$D,H$2)</f>
        <v>0</v>
      </c>
      <c r="I62" s="32">
        <f ca="1">SUMIFS(Pagamentos!$E:$E,Pagamentos!$F:$F,TRUE,Pagamentos!$C:$C,$C62,Pagamentos!$D:$D,I$2)</f>
        <v>80</v>
      </c>
      <c r="J62" s="32">
        <f ca="1">SUMIFS(Pagamentos!$E:$E,Pagamentos!$F:$F,TRUE,Pagamentos!$C:$C,$C62,Pagamentos!$D:$D,J$2)</f>
        <v>0</v>
      </c>
      <c r="K62" s="32">
        <f ca="1">SUMIFS(Pagamentos!$E:$E,Pagamentos!$F:$F,TRUE,Pagamentos!$C:$C,$C62,Pagamentos!$D:$D,K$2)</f>
        <v>0</v>
      </c>
      <c r="L62" s="32">
        <f ca="1">SUMIFS(Pagamentos!$E:$E,Pagamentos!$F:$F,TRUE,Pagamentos!$C:$C,$C62,Pagamentos!$D:$D,L$2)</f>
        <v>0</v>
      </c>
      <c r="M62" s="32">
        <f ca="1">SUMIFS(Pagamentos!$E:$E,Pagamentos!$F:$F,TRUE,Pagamentos!$C:$C,$C62,Pagamentos!$D:$D,M$2)</f>
        <v>0</v>
      </c>
      <c r="N62" s="32">
        <f ca="1">SUMIFS(Pagamentos!$E:$E,Pagamentos!$F:$F,TRUE,Pagamentos!$C:$C,$C62,Pagamentos!$D:$D,N$2)</f>
        <v>0</v>
      </c>
      <c r="O62" s="32">
        <f ca="1">SUMIFS(Pagamentos!$E:$E,Pagamentos!$F:$F,TRUE,Pagamentos!$C:$C,$C62,Pagamentos!$D:$D,O$2)</f>
        <v>0</v>
      </c>
      <c r="P62" s="32">
        <f ca="1">SUMIFS(Pagamentos!$E:$E,Pagamentos!$F:$F,TRUE,Pagamentos!$C:$C,$C62,Pagamentos!$D:$D,P$2)</f>
        <v>0</v>
      </c>
      <c r="Q62" s="33">
        <v>1</v>
      </c>
      <c r="R62" s="34">
        <f t="shared" ca="1" si="2"/>
        <v>-3</v>
      </c>
      <c r="S62" s="46" t="str">
        <f ca="1">IFERROR(__xludf.DUMMYFUNCTION("SPARKLINE(SUM(E62:P62),{""charttype"",""bar"";""max"",$S$2})"),"")</f>
        <v/>
      </c>
      <c r="T62" s="77"/>
    </row>
    <row r="63" spans="1:20" ht="16.2" outlineLevel="1">
      <c r="A63" s="48"/>
      <c r="B63" s="38" t="str">
        <f t="array" aca="1" ref="B63" ca="1">IFERROR(INDEX(#REF!,MATCH(C63,#REF!,0)),"")</f>
        <v/>
      </c>
      <c r="C63" s="97" t="str">
        <f ca="1">IFERROR(__xludf.DUMMYFUNCTION("""COMPUTED_VALUE"""),"Levi")</f>
        <v>Levi</v>
      </c>
      <c r="D63" s="97" t="str">
        <f ca="1">IFERROR(__xludf.DUMMYFUNCTION("""COMPUTED_VALUE"""),"Washington Levi Nascimento Dias")</f>
        <v>Washington Levi Nascimento Dias</v>
      </c>
      <c r="E63" s="40">
        <f ca="1">SUMIFS(Pagamentos!$E:$E,Pagamentos!$F:$F,TRUE,Pagamentos!$C:$C,$C63,Pagamentos!$D:$D,E$2)</f>
        <v>0</v>
      </c>
      <c r="F63" s="40">
        <f ca="1">SUMIFS(Pagamentos!$E:$E,Pagamentos!$F:$F,TRUE,Pagamentos!$C:$C,$C63,Pagamentos!$D:$D,F$2)</f>
        <v>0</v>
      </c>
      <c r="G63" s="40">
        <f ca="1">SUMIFS(Pagamentos!$E:$E,Pagamentos!$F:$F,TRUE,Pagamentos!$C:$C,$C63,Pagamentos!$D:$D,G$2)</f>
        <v>20</v>
      </c>
      <c r="H63" s="40">
        <f ca="1">SUMIFS(Pagamentos!$E:$E,Pagamentos!$F:$F,TRUE,Pagamentos!$C:$C,$C63,Pagamentos!$D:$D,H$2)</f>
        <v>0</v>
      </c>
      <c r="I63" s="40">
        <f ca="1">SUMIFS(Pagamentos!$E:$E,Pagamentos!$F:$F,TRUE,Pagamentos!$C:$C,$C63,Pagamentos!$D:$D,I$2)</f>
        <v>0</v>
      </c>
      <c r="J63" s="40">
        <f ca="1">SUMIFS(Pagamentos!$E:$E,Pagamentos!$F:$F,TRUE,Pagamentos!$C:$C,$C63,Pagamentos!$D:$D,J$2)</f>
        <v>0</v>
      </c>
      <c r="K63" s="40">
        <f ca="1">SUMIFS(Pagamentos!$E:$E,Pagamentos!$F:$F,TRUE,Pagamentos!$C:$C,$C63,Pagamentos!$D:$D,K$2)</f>
        <v>0</v>
      </c>
      <c r="L63" s="40">
        <f ca="1">SUMIFS(Pagamentos!$E:$E,Pagamentos!$F:$F,TRUE,Pagamentos!$C:$C,$C63,Pagamentos!$D:$D,L$2)</f>
        <v>0</v>
      </c>
      <c r="M63" s="40">
        <f ca="1">SUMIFS(Pagamentos!$E:$E,Pagamentos!$F:$F,TRUE,Pagamentos!$C:$C,$C63,Pagamentos!$D:$D,M$2)</f>
        <v>0</v>
      </c>
      <c r="N63" s="40">
        <f ca="1">SUMIFS(Pagamentos!$E:$E,Pagamentos!$F:$F,TRUE,Pagamentos!$C:$C,$C63,Pagamentos!$D:$D,N$2)</f>
        <v>0</v>
      </c>
      <c r="O63" s="40">
        <f ca="1">SUMIFS(Pagamentos!$E:$E,Pagamentos!$F:$F,TRUE,Pagamentos!$C:$C,$C63,Pagamentos!$D:$D,O$2)</f>
        <v>0</v>
      </c>
      <c r="P63" s="40">
        <f ca="1">SUMIFS(Pagamentos!$E:$E,Pagamentos!$F:$F,TRUE,Pagamentos!$C:$C,$C63,Pagamentos!$D:$D,P$2)</f>
        <v>0</v>
      </c>
      <c r="Q63" s="41">
        <v>1</v>
      </c>
      <c r="R63" s="42">
        <f t="shared" ca="1" si="2"/>
        <v>-6</v>
      </c>
      <c r="S63" s="49" t="str">
        <f ca="1">IFERROR(__xludf.DUMMYFUNCTION("SPARKLINE(SUM(E63:P63),{""charttype"",""bar"";""max"",$S$2})"),"")</f>
        <v/>
      </c>
      <c r="T63" s="50"/>
    </row>
    <row r="64" spans="1:20" ht="16.2" outlineLevel="1">
      <c r="A64" s="100"/>
      <c r="B64" s="29" t="str">
        <f t="array" aca="1" ref="B64" ca="1">IFERROR(INDEX(#REF!,MATCH(C64,#REF!,0)),"")</f>
        <v/>
      </c>
      <c r="C64" s="100" t="str">
        <f ca="1">IFERROR(__xludf.DUMMYFUNCTION("""COMPUTED_VALUE"""),"Joaber")</f>
        <v>Joaber</v>
      </c>
      <c r="D64" s="100" t="str">
        <f ca="1">IFERROR(__xludf.DUMMYFUNCTION("""COMPUTED_VALUE"""),"Reinaldo Joaber de Araújo Spengler ")</f>
        <v xml:space="preserve">Reinaldo Joaber de Araújo Spengler </v>
      </c>
      <c r="E64" s="32">
        <f ca="1">SUMIFS(Pagamentos!$E:$E,Pagamentos!$F:$F,TRUE,Pagamentos!$C:$C,$C64,Pagamentos!$D:$D,E$2)</f>
        <v>0</v>
      </c>
      <c r="F64" s="32">
        <f ca="1">SUMIFS(Pagamentos!$E:$E,Pagamentos!$F:$F,TRUE,Pagamentos!$C:$C,$C64,Pagamentos!$D:$D,F$2)</f>
        <v>20</v>
      </c>
      <c r="G64" s="32">
        <f ca="1">SUMIFS(Pagamentos!$E:$E,Pagamentos!$F:$F,TRUE,Pagamentos!$C:$C,$C64,Pagamentos!$D:$D,G$2)</f>
        <v>20</v>
      </c>
      <c r="H64" s="32">
        <f ca="1">SUMIFS(Pagamentos!$E:$E,Pagamentos!$F:$F,TRUE,Pagamentos!$C:$C,$C64,Pagamentos!$D:$D,H$2)</f>
        <v>20</v>
      </c>
      <c r="I64" s="32">
        <f ca="1">SUMIFS(Pagamentos!$E:$E,Pagamentos!$F:$F,TRUE,Pagamentos!$C:$C,$C64,Pagamentos!$D:$D,I$2)</f>
        <v>0</v>
      </c>
      <c r="J64" s="32">
        <f ca="1">SUMIFS(Pagamentos!$E:$E,Pagamentos!$F:$F,TRUE,Pagamentos!$C:$C,$C64,Pagamentos!$D:$D,J$2)</f>
        <v>40</v>
      </c>
      <c r="K64" s="32">
        <f ca="1">SUMIFS(Pagamentos!$E:$E,Pagamentos!$F:$F,TRUE,Pagamentos!$C:$C,$C64,Pagamentos!$D:$D,K$2)</f>
        <v>0</v>
      </c>
      <c r="L64" s="32">
        <f ca="1">SUMIFS(Pagamentos!$E:$E,Pagamentos!$F:$F,TRUE,Pagamentos!$C:$C,$C64,Pagamentos!$D:$D,L$2)</f>
        <v>0</v>
      </c>
      <c r="M64" s="32">
        <f ca="1">SUMIFS(Pagamentos!$E:$E,Pagamentos!$F:$F,TRUE,Pagamentos!$C:$C,$C64,Pagamentos!$D:$D,M$2)</f>
        <v>0</v>
      </c>
      <c r="N64" s="32">
        <f ca="1">SUMIFS(Pagamentos!$E:$E,Pagamentos!$F:$F,TRUE,Pagamentos!$C:$C,$C64,Pagamentos!$D:$D,N$2)</f>
        <v>0</v>
      </c>
      <c r="O64" s="32">
        <f ca="1">SUMIFS(Pagamentos!$E:$E,Pagamentos!$F:$F,TRUE,Pagamentos!$C:$C,$C64,Pagamentos!$D:$D,O$2)</f>
        <v>0</v>
      </c>
      <c r="P64" s="32">
        <f ca="1">SUMIFS(Pagamentos!$E:$E,Pagamentos!$F:$F,TRUE,Pagamentos!$C:$C,$C64,Pagamentos!$D:$D,P$2)</f>
        <v>0</v>
      </c>
      <c r="Q64" s="33">
        <v>1</v>
      </c>
      <c r="R64" s="34">
        <f t="shared" ca="1" si="2"/>
        <v>-2</v>
      </c>
      <c r="S64" s="46" t="str">
        <f ca="1">IFERROR(__xludf.DUMMYFUNCTION("SPARKLINE(SUM(E64:P64),{""charttype"",""bar"";""max"",$S$2})"),"")</f>
        <v/>
      </c>
      <c r="T64" s="36"/>
    </row>
    <row r="65" spans="1:20" ht="16.2" outlineLevel="1">
      <c r="A65" s="102"/>
      <c r="B65" s="38" t="str">
        <f t="array" aca="1" ref="B65" ca="1">IFERROR(INDEX(#REF!,MATCH(C65,#REF!,0)),"")</f>
        <v/>
      </c>
      <c r="C65" s="97" t="str">
        <f ca="1">IFERROR(__xludf.DUMMYFUNCTION("""COMPUTED_VALUE"""),"Anderson ")</f>
        <v xml:space="preserve">Anderson </v>
      </c>
      <c r="D65" s="97" t="str">
        <f ca="1">IFERROR(__xludf.DUMMYFUNCTION("""COMPUTED_VALUE"""),"Anderson Rafael Souza da Silva ")</f>
        <v xml:space="preserve">Anderson Rafael Souza da Silva </v>
      </c>
      <c r="E65" s="40">
        <f ca="1">SUMIFS(Pagamentos!$E:$E,Pagamentos!$F:$F,TRUE,Pagamentos!$C:$C,$C65,Pagamentos!$D:$D,E$2)</f>
        <v>0</v>
      </c>
      <c r="F65" s="40">
        <f ca="1">SUMIFS(Pagamentos!$E:$E,Pagamentos!$F:$F,TRUE,Pagamentos!$C:$C,$C65,Pagamentos!$D:$D,F$2)</f>
        <v>0</v>
      </c>
      <c r="G65" s="40">
        <f ca="1">SUMIFS(Pagamentos!$E:$E,Pagamentos!$F:$F,TRUE,Pagamentos!$C:$C,$C65,Pagamentos!$D:$D,G$2)</f>
        <v>20</v>
      </c>
      <c r="H65" s="40">
        <f ca="1">SUMIFS(Pagamentos!$E:$E,Pagamentos!$F:$F,TRUE,Pagamentos!$C:$C,$C65,Pagamentos!$D:$D,H$2)</f>
        <v>0</v>
      </c>
      <c r="I65" s="40">
        <f ca="1">SUMIFS(Pagamentos!$E:$E,Pagamentos!$F:$F,TRUE,Pagamentos!$C:$C,$C65,Pagamentos!$D:$D,I$2)</f>
        <v>20</v>
      </c>
      <c r="J65" s="40">
        <f ca="1">SUMIFS(Pagamentos!$E:$E,Pagamentos!$F:$F,TRUE,Pagamentos!$C:$C,$C65,Pagamentos!$D:$D,J$2)</f>
        <v>20</v>
      </c>
      <c r="K65" s="40">
        <f ca="1">SUMIFS(Pagamentos!$E:$E,Pagamentos!$F:$F,TRUE,Pagamentos!$C:$C,$C65,Pagamentos!$D:$D,K$2)</f>
        <v>20</v>
      </c>
      <c r="L65" s="40">
        <f ca="1">SUMIFS(Pagamentos!$E:$E,Pagamentos!$F:$F,TRUE,Pagamentos!$C:$C,$C65,Pagamentos!$D:$D,L$2)</f>
        <v>0</v>
      </c>
      <c r="M65" s="40">
        <f ca="1">SUMIFS(Pagamentos!$E:$E,Pagamentos!$F:$F,TRUE,Pagamentos!$C:$C,$C65,Pagamentos!$D:$D,M$2)</f>
        <v>0</v>
      </c>
      <c r="N65" s="40">
        <f ca="1">SUMIFS(Pagamentos!$E:$E,Pagamentos!$F:$F,TRUE,Pagamentos!$C:$C,$C65,Pagamentos!$D:$D,N$2)</f>
        <v>0</v>
      </c>
      <c r="O65" s="40">
        <f ca="1">SUMIFS(Pagamentos!$E:$E,Pagamentos!$F:$F,TRUE,Pagamentos!$C:$C,$C65,Pagamentos!$D:$D,O$2)</f>
        <v>0</v>
      </c>
      <c r="P65" s="40">
        <f ca="1">SUMIFS(Pagamentos!$E:$E,Pagamentos!$F:$F,TRUE,Pagamentos!$C:$C,$C65,Pagamentos!$D:$D,P$2)</f>
        <v>0</v>
      </c>
      <c r="Q65" s="41">
        <v>2</v>
      </c>
      <c r="R65" s="42">
        <f t="shared" ca="1" si="2"/>
        <v>-2</v>
      </c>
      <c r="S65" s="49" t="str">
        <f ca="1">IFERROR(__xludf.DUMMYFUNCTION("SPARKLINE(SUM(E65:P65),{""charttype"",""bar"";""max"",$S$2})"),"")</f>
        <v/>
      </c>
      <c r="T65" s="50"/>
    </row>
    <row r="66" spans="1:20" ht="16.2" outlineLevel="1">
      <c r="A66" s="103"/>
      <c r="B66" s="29" t="str">
        <f t="array" aca="1" ref="B66" ca="1">IFERROR(INDEX(#REF!,MATCH(C66,#REF!,0)),"")</f>
        <v/>
      </c>
      <c r="C66" s="100" t="str">
        <f ca="1">IFERROR(__xludf.DUMMYFUNCTION("""COMPUTED_VALUE"""),"Sadi")</f>
        <v>Sadi</v>
      </c>
      <c r="D66" s="100" t="str">
        <f ca="1">IFERROR(__xludf.DUMMYFUNCTION("""COMPUTED_VALUE"""),"Washington sadi de jesus ")</f>
        <v xml:space="preserve">Washington sadi de jesus </v>
      </c>
      <c r="E66" s="32">
        <f ca="1">SUMIFS(Pagamentos!$E:$E,Pagamentos!$F:$F,TRUE,Pagamentos!$C:$C,$C66,Pagamentos!$D:$D,E$2)</f>
        <v>0</v>
      </c>
      <c r="F66" s="32">
        <f ca="1">SUMIFS(Pagamentos!$E:$E,Pagamentos!$F:$F,TRUE,Pagamentos!$C:$C,$C66,Pagamentos!$D:$D,F$2)</f>
        <v>0</v>
      </c>
      <c r="G66" s="32">
        <f ca="1">SUMIFS(Pagamentos!$E:$E,Pagamentos!$F:$F,TRUE,Pagamentos!$C:$C,$C66,Pagamentos!$D:$D,G$2)</f>
        <v>0</v>
      </c>
      <c r="H66" s="32">
        <f ca="1">SUMIFS(Pagamentos!$E:$E,Pagamentos!$F:$F,TRUE,Pagamentos!$C:$C,$C66,Pagamentos!$D:$D,H$2)</f>
        <v>0</v>
      </c>
      <c r="I66" s="32">
        <f ca="1">SUMIFS(Pagamentos!$E:$E,Pagamentos!$F:$F,TRUE,Pagamentos!$C:$C,$C66,Pagamentos!$D:$D,I$2)</f>
        <v>0</v>
      </c>
      <c r="J66" s="32">
        <f ca="1">SUMIFS(Pagamentos!$E:$E,Pagamentos!$F:$F,TRUE,Pagamentos!$C:$C,$C66,Pagamentos!$D:$D,J$2)</f>
        <v>0</v>
      </c>
      <c r="K66" s="32">
        <f ca="1">SUMIFS(Pagamentos!$E:$E,Pagamentos!$F:$F,TRUE,Pagamentos!$C:$C,$C66,Pagamentos!$D:$D,K$2)</f>
        <v>0</v>
      </c>
      <c r="L66" s="32">
        <f ca="1">SUMIFS(Pagamentos!$E:$E,Pagamentos!$F:$F,TRUE,Pagamentos!$C:$C,$C66,Pagamentos!$D:$D,L$2)</f>
        <v>0</v>
      </c>
      <c r="M66" s="32">
        <f ca="1">SUMIFS(Pagamentos!$E:$E,Pagamentos!$F:$F,TRUE,Pagamentos!$C:$C,$C66,Pagamentos!$D:$D,M$2)</f>
        <v>0</v>
      </c>
      <c r="N66" s="32">
        <f ca="1">SUMIFS(Pagamentos!$E:$E,Pagamentos!$F:$F,TRUE,Pagamentos!$C:$C,$C66,Pagamentos!$D:$D,N$2)</f>
        <v>0</v>
      </c>
      <c r="O66" s="32">
        <f ca="1">SUMIFS(Pagamentos!$E:$E,Pagamentos!$F:$F,TRUE,Pagamentos!$C:$C,$C66,Pagamentos!$D:$D,O$2)</f>
        <v>0</v>
      </c>
      <c r="P66" s="32">
        <f ca="1">SUMIFS(Pagamentos!$E:$E,Pagamentos!$F:$F,TRUE,Pagamentos!$C:$C,$C66,Pagamentos!$D:$D,P$2)</f>
        <v>0</v>
      </c>
      <c r="Q66" s="33">
        <v>3</v>
      </c>
      <c r="R66" s="34">
        <f t="shared" ca="1" si="2"/>
        <v>-5</v>
      </c>
      <c r="S66" s="73" t="str">
        <f ca="1">IFERROR(__xludf.DUMMYFUNCTION("SPARKLINE(SUM(E66:P66),{""charttype"",""bar"";""max"",$S$2})"),"")</f>
        <v/>
      </c>
      <c r="T66" s="74"/>
    </row>
    <row r="67" spans="1:20" ht="16.2" outlineLevel="1">
      <c r="A67" s="97"/>
      <c r="B67" s="38" t="str">
        <f t="array" aca="1" ref="B67" ca="1">IFERROR(INDEX(#REF!,MATCH(C67,#REF!,0)),"")</f>
        <v/>
      </c>
      <c r="C67" s="97" t="str">
        <f ca="1">IFERROR(__xludf.DUMMYFUNCTION("""COMPUTED_VALUE"""),"Perdoná ")</f>
        <v xml:space="preserve">Perdoná </v>
      </c>
      <c r="D67" s="97" t="str">
        <f ca="1">IFERROR(__xludf.DUMMYFUNCTION("""COMPUTED_VALUE"""),"Pâmela Aparecida da Luz Perdoná ")</f>
        <v xml:space="preserve">Pâmela Aparecida da Luz Perdoná </v>
      </c>
      <c r="E67" s="40">
        <f ca="1">SUMIFS(Pagamentos!$E:$E,Pagamentos!$F:$F,TRUE,Pagamentos!$C:$C,$C67,Pagamentos!$D:$D,E$2)</f>
        <v>0</v>
      </c>
      <c r="F67" s="40">
        <f ca="1">SUMIFS(Pagamentos!$E:$E,Pagamentos!$F:$F,TRUE,Pagamentos!$C:$C,$C67,Pagamentos!$D:$D,F$2)</f>
        <v>0</v>
      </c>
      <c r="G67" s="40">
        <f ca="1">SUMIFS(Pagamentos!$E:$E,Pagamentos!$F:$F,TRUE,Pagamentos!$C:$C,$C67,Pagamentos!$D:$D,G$2)</f>
        <v>0</v>
      </c>
      <c r="H67" s="40">
        <f ca="1">SUMIFS(Pagamentos!$E:$E,Pagamentos!$F:$F,TRUE,Pagamentos!$C:$C,$C67,Pagamentos!$D:$D,H$2)</f>
        <v>0</v>
      </c>
      <c r="I67" s="40">
        <f ca="1">SUMIFS(Pagamentos!$E:$E,Pagamentos!$F:$F,TRUE,Pagamentos!$C:$C,$C67,Pagamentos!$D:$D,I$2)</f>
        <v>20</v>
      </c>
      <c r="J67" s="40">
        <f ca="1">SUMIFS(Pagamentos!$E:$E,Pagamentos!$F:$F,TRUE,Pagamentos!$C:$C,$C67,Pagamentos!$D:$D,J$2)</f>
        <v>20</v>
      </c>
      <c r="K67" s="40">
        <f ca="1">SUMIFS(Pagamentos!$E:$E,Pagamentos!$F:$F,TRUE,Pagamentos!$C:$C,$C67,Pagamentos!$D:$D,K$2)</f>
        <v>0</v>
      </c>
      <c r="L67" s="40">
        <f ca="1">SUMIFS(Pagamentos!$E:$E,Pagamentos!$F:$F,TRUE,Pagamentos!$C:$C,$C67,Pagamentos!$D:$D,L$2)</f>
        <v>0</v>
      </c>
      <c r="M67" s="40">
        <f ca="1">SUMIFS(Pagamentos!$E:$E,Pagamentos!$F:$F,TRUE,Pagamentos!$C:$C,$C67,Pagamentos!$D:$D,M$2)</f>
        <v>0</v>
      </c>
      <c r="N67" s="40">
        <f ca="1">SUMIFS(Pagamentos!$E:$E,Pagamentos!$F:$F,TRUE,Pagamentos!$C:$C,$C67,Pagamentos!$D:$D,N$2)</f>
        <v>0</v>
      </c>
      <c r="O67" s="40">
        <f ca="1">SUMIFS(Pagamentos!$E:$E,Pagamentos!$F:$F,TRUE,Pagamentos!$C:$C,$C67,Pagamentos!$D:$D,O$2)</f>
        <v>0</v>
      </c>
      <c r="P67" s="40">
        <f ca="1">SUMIFS(Pagamentos!$E:$E,Pagamentos!$F:$F,TRUE,Pagamentos!$C:$C,$C67,Pagamentos!$D:$D,P$2)</f>
        <v>0</v>
      </c>
      <c r="Q67" s="41">
        <v>5</v>
      </c>
      <c r="R67" s="42">
        <f t="shared" ca="1" si="2"/>
        <v>-1</v>
      </c>
      <c r="S67" s="43" t="str">
        <f ca="1">IFERROR(__xludf.DUMMYFUNCTION("SPARKLINE(SUM(E67:P67),{""charttype"",""bar"";""max"",$S$2})"),"")</f>
        <v/>
      </c>
      <c r="T67" s="44"/>
    </row>
    <row r="68" spans="1:20" ht="16.2" outlineLevel="1">
      <c r="A68" s="100"/>
      <c r="B68" s="29" t="str">
        <f t="array" aca="1" ref="B68" ca="1">IFERROR(INDEX(#REF!,MATCH(C68,#REF!,0)),"")</f>
        <v/>
      </c>
      <c r="C68" s="100" t="str">
        <f ca="1">IFERROR(__xludf.DUMMYFUNCTION("""COMPUTED_VALUE"""),"Viapiana ")</f>
        <v xml:space="preserve">Viapiana </v>
      </c>
      <c r="D68" s="100" t="str">
        <f ca="1">IFERROR(__xludf.DUMMYFUNCTION("""COMPUTED_VALUE"""),"Otávio Augusto Viapiana")</f>
        <v>Otávio Augusto Viapiana</v>
      </c>
      <c r="E68" s="32">
        <f ca="1">SUMIFS(Pagamentos!$E:$E,Pagamentos!$F:$F,TRUE,Pagamentos!$C:$C,$C68,Pagamentos!$D:$D,E$2)</f>
        <v>0</v>
      </c>
      <c r="F68" s="32">
        <f ca="1">SUMIFS(Pagamentos!$E:$E,Pagamentos!$F:$F,TRUE,Pagamentos!$C:$C,$C68,Pagamentos!$D:$D,F$2)</f>
        <v>0</v>
      </c>
      <c r="G68" s="32">
        <f ca="1">SUMIFS(Pagamentos!$E:$E,Pagamentos!$F:$F,TRUE,Pagamentos!$C:$C,$C68,Pagamentos!$D:$D,G$2)</f>
        <v>0</v>
      </c>
      <c r="H68" s="32">
        <f ca="1">SUMIFS(Pagamentos!$E:$E,Pagamentos!$F:$F,TRUE,Pagamentos!$C:$C,$C68,Pagamentos!$D:$D,H$2)</f>
        <v>0</v>
      </c>
      <c r="I68" s="32">
        <f ca="1">SUMIFS(Pagamentos!$E:$E,Pagamentos!$F:$F,TRUE,Pagamentos!$C:$C,$C68,Pagamentos!$D:$D,I$2)</f>
        <v>20</v>
      </c>
      <c r="J68" s="32">
        <f ca="1">SUMIFS(Pagamentos!$E:$E,Pagamentos!$F:$F,TRUE,Pagamentos!$C:$C,$C68,Pagamentos!$D:$D,J$2)</f>
        <v>20</v>
      </c>
      <c r="K68" s="32">
        <f ca="1">SUMIFS(Pagamentos!$E:$E,Pagamentos!$F:$F,TRUE,Pagamentos!$C:$C,$C68,Pagamentos!$D:$D,K$2)</f>
        <v>20</v>
      </c>
      <c r="L68" s="32">
        <f ca="1">SUMIFS(Pagamentos!$E:$E,Pagamentos!$F:$F,TRUE,Pagamentos!$C:$C,$C68,Pagamentos!$D:$D,L$2)</f>
        <v>0</v>
      </c>
      <c r="M68" s="32">
        <f ca="1">SUMIFS(Pagamentos!$E:$E,Pagamentos!$F:$F,TRUE,Pagamentos!$C:$C,$C68,Pagamentos!$D:$D,M$2)</f>
        <v>0</v>
      </c>
      <c r="N68" s="32">
        <f ca="1">SUMIFS(Pagamentos!$E:$E,Pagamentos!$F:$F,TRUE,Pagamentos!$C:$C,$C68,Pagamentos!$D:$D,N$2)</f>
        <v>0</v>
      </c>
      <c r="O68" s="32">
        <f ca="1">SUMIFS(Pagamentos!$E:$E,Pagamentos!$F:$F,TRUE,Pagamentos!$C:$C,$C68,Pagamentos!$D:$D,O$2)</f>
        <v>0</v>
      </c>
      <c r="P68" s="32">
        <f ca="1">SUMIFS(Pagamentos!$E:$E,Pagamentos!$F:$F,TRUE,Pagamentos!$C:$C,$C68,Pagamentos!$D:$D,P$2)</f>
        <v>0</v>
      </c>
      <c r="Q68" s="33">
        <v>5</v>
      </c>
      <c r="R68" s="34">
        <f t="shared" ca="1" si="2"/>
        <v>0</v>
      </c>
      <c r="S68" s="46" t="str">
        <f ca="1">IFERROR(__xludf.DUMMYFUNCTION("SPARKLINE(SUM(E68:P68),{""charttype"",""bar"";""max"",$S$2})"),"")</f>
        <v/>
      </c>
      <c r="T68" s="36"/>
    </row>
    <row r="69" spans="1:20" ht="16.2" outlineLevel="1">
      <c r="A69" s="97"/>
      <c r="B69" s="38" t="str">
        <f t="array" aca="1" ref="B69" ca="1">IFERROR(INDEX(#REF!,MATCH(C69,#REF!,0)),"")</f>
        <v/>
      </c>
      <c r="C69" s="97" t="str">
        <f ca="1">IFERROR(__xludf.DUMMYFUNCTION("""COMPUTED_VALUE"""),"Steimbach ")</f>
        <v xml:space="preserve">Steimbach </v>
      </c>
      <c r="D69" s="97" t="str">
        <f ca="1">IFERROR(__xludf.DUMMYFUNCTION("""COMPUTED_VALUE"""),"Graziela steimbach ")</f>
        <v xml:space="preserve">Graziela steimbach </v>
      </c>
      <c r="E69" s="40">
        <f ca="1">SUMIFS(Pagamentos!$E:$E,Pagamentos!$F:$F,TRUE,Pagamentos!$C:$C,$C69,Pagamentos!$D:$D,E$2)</f>
        <v>0</v>
      </c>
      <c r="F69" s="40">
        <f ca="1">SUMIFS(Pagamentos!$E:$E,Pagamentos!$F:$F,TRUE,Pagamentos!$C:$C,$C69,Pagamentos!$D:$D,F$2)</f>
        <v>0</v>
      </c>
      <c r="G69" s="40">
        <f ca="1">SUMIFS(Pagamentos!$E:$E,Pagamentos!$F:$F,TRUE,Pagamentos!$C:$C,$C69,Pagamentos!$D:$D,G$2)</f>
        <v>0</v>
      </c>
      <c r="H69" s="40">
        <f ca="1">SUMIFS(Pagamentos!$E:$E,Pagamentos!$F:$F,TRUE,Pagamentos!$C:$C,$C69,Pagamentos!$D:$D,H$2)</f>
        <v>0</v>
      </c>
      <c r="I69" s="40">
        <f ca="1">SUMIFS(Pagamentos!$E:$E,Pagamentos!$F:$F,TRUE,Pagamentos!$C:$C,$C69,Pagamentos!$D:$D,I$2)</f>
        <v>0</v>
      </c>
      <c r="J69" s="40">
        <f ca="1">SUMIFS(Pagamentos!$E:$E,Pagamentos!$F:$F,TRUE,Pagamentos!$C:$C,$C69,Pagamentos!$D:$D,J$2)</f>
        <v>0</v>
      </c>
      <c r="K69" s="40">
        <f ca="1">SUMIFS(Pagamentos!$E:$E,Pagamentos!$F:$F,TRUE,Pagamentos!$C:$C,$C69,Pagamentos!$D:$D,K$2)</f>
        <v>20</v>
      </c>
      <c r="L69" s="40">
        <f ca="1">SUMIFS(Pagamentos!$E:$E,Pagamentos!$F:$F,TRUE,Pagamentos!$C:$C,$C69,Pagamentos!$D:$D,L$2)</f>
        <v>20</v>
      </c>
      <c r="M69" s="40">
        <f ca="1">SUMIFS(Pagamentos!$E:$E,Pagamentos!$F:$F,TRUE,Pagamentos!$C:$C,$C69,Pagamentos!$D:$D,M$2)</f>
        <v>0</v>
      </c>
      <c r="N69" s="40">
        <f ca="1">SUMIFS(Pagamentos!$E:$E,Pagamentos!$F:$F,TRUE,Pagamentos!$C:$C,$C69,Pagamentos!$D:$D,N$2)</f>
        <v>0</v>
      </c>
      <c r="O69" s="40">
        <f ca="1">SUMIFS(Pagamentos!$E:$E,Pagamentos!$F:$F,TRUE,Pagamentos!$C:$C,$C69,Pagamentos!$D:$D,O$2)</f>
        <v>0</v>
      </c>
      <c r="P69" s="40">
        <f ca="1">SUMIFS(Pagamentos!$E:$E,Pagamentos!$F:$F,TRUE,Pagamentos!$C:$C,$C69,Pagamentos!$D:$D,P$2)</f>
        <v>0</v>
      </c>
      <c r="Q69" s="41">
        <v>6</v>
      </c>
      <c r="R69" s="42">
        <f t="shared" ca="1" si="2"/>
        <v>0</v>
      </c>
      <c r="S69" s="43" t="str">
        <f ca="1">IFERROR(__xludf.DUMMYFUNCTION("SPARKLINE(SUM(E69:P69),{""charttype"",""bar"";""max"",$S$2})"),"")</f>
        <v/>
      </c>
      <c r="T69" s="44"/>
    </row>
    <row r="70" spans="1:20" ht="16.2" outlineLevel="1">
      <c r="A70" s="100"/>
      <c r="B70" s="29" t="str">
        <f t="array" ref="B70">IFERROR(INDEX(#REF!,MATCH(C70,#REF!,0)),"")</f>
        <v/>
      </c>
      <c r="C70" s="100"/>
      <c r="D70" s="100"/>
      <c r="E70" s="32">
        <f>SUMIFS(Pagamentos!$E:$E,Pagamentos!$F:$F,TRUE,Pagamentos!$C:$C,$C70,Pagamentos!$D:$D,E$2)</f>
        <v>0</v>
      </c>
      <c r="F70" s="32">
        <f>SUMIFS(Pagamentos!$E:$E,Pagamentos!$F:$F,TRUE,Pagamentos!$C:$C,$C70,Pagamentos!$D:$D,F$2)</f>
        <v>0</v>
      </c>
      <c r="G70" s="32">
        <f>SUMIFS(Pagamentos!$E:$E,Pagamentos!$F:$F,TRUE,Pagamentos!$C:$C,$C70,Pagamentos!$D:$D,G$2)</f>
        <v>0</v>
      </c>
      <c r="H70" s="32">
        <f>SUMIFS(Pagamentos!$E:$E,Pagamentos!$F:$F,TRUE,Pagamentos!$C:$C,$C70,Pagamentos!$D:$D,H$2)</f>
        <v>0</v>
      </c>
      <c r="I70" s="32">
        <f>SUMIFS(Pagamentos!$E:$E,Pagamentos!$F:$F,TRUE,Pagamentos!$C:$C,$C70,Pagamentos!$D:$D,I$2)</f>
        <v>0</v>
      </c>
      <c r="J70" s="32">
        <f>SUMIFS(Pagamentos!$E:$E,Pagamentos!$F:$F,TRUE,Pagamentos!$C:$C,$C70,Pagamentos!$D:$D,J$2)</f>
        <v>0</v>
      </c>
      <c r="K70" s="32">
        <f>SUMIFS(Pagamentos!$E:$E,Pagamentos!$F:$F,TRUE,Pagamentos!$C:$C,$C70,Pagamentos!$D:$D,K$2)</f>
        <v>0</v>
      </c>
      <c r="L70" s="32">
        <f>SUMIFS(Pagamentos!$E:$E,Pagamentos!$F:$F,TRUE,Pagamentos!$C:$C,$C70,Pagamentos!$D:$D,L$2)</f>
        <v>0</v>
      </c>
      <c r="M70" s="32">
        <f>SUMIFS(Pagamentos!$E:$E,Pagamentos!$F:$F,TRUE,Pagamentos!$C:$C,$C70,Pagamentos!$D:$D,M$2)</f>
        <v>0</v>
      </c>
      <c r="N70" s="32">
        <f>SUMIFS(Pagamentos!$E:$E,Pagamentos!$F:$F,TRUE,Pagamentos!$C:$C,$C70,Pagamentos!$D:$D,N$2)</f>
        <v>0</v>
      </c>
      <c r="O70" s="32">
        <f>SUMIFS(Pagamentos!$E:$E,Pagamentos!$F:$F,TRUE,Pagamentos!$C:$C,$C70,Pagamentos!$D:$D,O$2)</f>
        <v>0</v>
      </c>
      <c r="P70" s="32">
        <f>SUMIFS(Pagamentos!$E:$E,Pagamentos!$F:$F,TRUE,Pagamentos!$C:$C,$C70,Pagamentos!$D:$D,P$2)</f>
        <v>0</v>
      </c>
      <c r="Q70" s="33"/>
      <c r="R70" s="34" t="str">
        <f t="shared" si="2"/>
        <v/>
      </c>
      <c r="S70" s="46" t="str">
        <f ca="1">IFERROR(__xludf.DUMMYFUNCTION("SPARKLINE(SUM(E70:P70),{""charttype"",""bar"";""max"",$S$2})"),"")</f>
        <v/>
      </c>
      <c r="T70" s="36"/>
    </row>
    <row r="71" spans="1:20" ht="16.2" outlineLevel="1">
      <c r="A71" s="97"/>
      <c r="B71" s="38" t="str">
        <f t="array" ref="B71">IFERROR(INDEX(#REF!,MATCH(C71,#REF!,0)),"")</f>
        <v/>
      </c>
      <c r="C71" s="97"/>
      <c r="D71" s="97"/>
      <c r="E71" s="40">
        <f>SUMIFS(Pagamentos!$E:$E,Pagamentos!$F:$F,TRUE,Pagamentos!$C:$C,$C71,Pagamentos!$D:$D,E$2)</f>
        <v>0</v>
      </c>
      <c r="F71" s="40">
        <f>SUMIFS(Pagamentos!$E:$E,Pagamentos!$F:$F,TRUE,Pagamentos!$C:$C,$C71,Pagamentos!$D:$D,F$2)</f>
        <v>0</v>
      </c>
      <c r="G71" s="40">
        <f>SUMIFS(Pagamentos!$E:$E,Pagamentos!$F:$F,TRUE,Pagamentos!$C:$C,$C71,Pagamentos!$D:$D,G$2)</f>
        <v>0</v>
      </c>
      <c r="H71" s="40">
        <f>SUMIFS(Pagamentos!$E:$E,Pagamentos!$F:$F,TRUE,Pagamentos!$C:$C,$C71,Pagamentos!$D:$D,H$2)</f>
        <v>0</v>
      </c>
      <c r="I71" s="40">
        <f>SUMIFS(Pagamentos!$E:$E,Pagamentos!$F:$F,TRUE,Pagamentos!$C:$C,$C71,Pagamentos!$D:$D,I$2)</f>
        <v>0</v>
      </c>
      <c r="J71" s="40">
        <f>SUMIFS(Pagamentos!$E:$E,Pagamentos!$F:$F,TRUE,Pagamentos!$C:$C,$C71,Pagamentos!$D:$D,J$2)</f>
        <v>0</v>
      </c>
      <c r="K71" s="40">
        <f>SUMIFS(Pagamentos!$E:$E,Pagamentos!$F:$F,TRUE,Pagamentos!$C:$C,$C71,Pagamentos!$D:$D,K$2)</f>
        <v>0</v>
      </c>
      <c r="L71" s="40">
        <f>SUMIFS(Pagamentos!$E:$E,Pagamentos!$F:$F,TRUE,Pagamentos!$C:$C,$C71,Pagamentos!$D:$D,L$2)</f>
        <v>0</v>
      </c>
      <c r="M71" s="40">
        <f>SUMIFS(Pagamentos!$E:$E,Pagamentos!$F:$F,TRUE,Pagamentos!$C:$C,$C71,Pagamentos!$D:$D,M$2)</f>
        <v>0</v>
      </c>
      <c r="N71" s="40">
        <f>SUMIFS(Pagamentos!$E:$E,Pagamentos!$F:$F,TRUE,Pagamentos!$C:$C,$C71,Pagamentos!$D:$D,N$2)</f>
        <v>0</v>
      </c>
      <c r="O71" s="40">
        <f>SUMIFS(Pagamentos!$E:$E,Pagamentos!$F:$F,TRUE,Pagamentos!$C:$C,$C71,Pagamentos!$D:$D,O$2)</f>
        <v>0</v>
      </c>
      <c r="P71" s="40">
        <f>SUMIFS(Pagamentos!$E:$E,Pagamentos!$F:$F,TRUE,Pagamentos!$C:$C,$C71,Pagamentos!$D:$D,P$2)</f>
        <v>0</v>
      </c>
      <c r="Q71" s="41"/>
      <c r="R71" s="42" t="str">
        <f t="shared" si="2"/>
        <v/>
      </c>
      <c r="S71" s="43" t="str">
        <f ca="1">IFERROR(__xludf.DUMMYFUNCTION("SPARKLINE(SUM(E71:P71),{""charttype"",""bar"";""max"",$S$2})"),"")</f>
        <v/>
      </c>
      <c r="T71" s="44"/>
    </row>
    <row r="72" spans="1:20" ht="16.2" outlineLevel="1">
      <c r="A72" s="100"/>
      <c r="B72" s="29" t="str">
        <f t="array" ref="B72">IFERROR(INDEX(#REF!,MATCH(C72,#REF!,0)),"")</f>
        <v/>
      </c>
      <c r="C72" s="101"/>
      <c r="D72" s="100"/>
      <c r="E72" s="32">
        <f>SUMIFS(Pagamentos!$E:$E,Pagamentos!$F:$F,TRUE,Pagamentos!$C:$C,$C72,Pagamentos!$D:$D,E$2)</f>
        <v>0</v>
      </c>
      <c r="F72" s="32">
        <f>SUMIFS(Pagamentos!$E:$E,Pagamentos!$F:$F,TRUE,Pagamentos!$C:$C,$C72,Pagamentos!$D:$D,F$2)</f>
        <v>0</v>
      </c>
      <c r="G72" s="32">
        <f>SUMIFS(Pagamentos!$E:$E,Pagamentos!$F:$F,TRUE,Pagamentos!$C:$C,$C72,Pagamentos!$D:$D,G$2)</f>
        <v>0</v>
      </c>
      <c r="H72" s="32">
        <f>SUMIFS(Pagamentos!$E:$E,Pagamentos!$F:$F,TRUE,Pagamentos!$C:$C,$C72,Pagamentos!$D:$D,H$2)</f>
        <v>0</v>
      </c>
      <c r="I72" s="32">
        <f>SUMIFS(Pagamentos!$E:$E,Pagamentos!$F:$F,TRUE,Pagamentos!$C:$C,$C72,Pagamentos!$D:$D,I$2)</f>
        <v>0</v>
      </c>
      <c r="J72" s="32">
        <f>SUMIFS(Pagamentos!$E:$E,Pagamentos!$F:$F,TRUE,Pagamentos!$C:$C,$C72,Pagamentos!$D:$D,J$2)</f>
        <v>0</v>
      </c>
      <c r="K72" s="32">
        <f>SUMIFS(Pagamentos!$E:$E,Pagamentos!$F:$F,TRUE,Pagamentos!$C:$C,$C72,Pagamentos!$D:$D,K$2)</f>
        <v>0</v>
      </c>
      <c r="L72" s="32">
        <f>SUMIFS(Pagamentos!$E:$E,Pagamentos!$F:$F,TRUE,Pagamentos!$C:$C,$C72,Pagamentos!$D:$D,L$2)</f>
        <v>0</v>
      </c>
      <c r="M72" s="32">
        <f>SUMIFS(Pagamentos!$E:$E,Pagamentos!$F:$F,TRUE,Pagamentos!$C:$C,$C72,Pagamentos!$D:$D,M$2)</f>
        <v>0</v>
      </c>
      <c r="N72" s="32">
        <f>SUMIFS(Pagamentos!$E:$E,Pagamentos!$F:$F,TRUE,Pagamentos!$C:$C,$C72,Pagamentos!$D:$D,N$2)</f>
        <v>0</v>
      </c>
      <c r="O72" s="32">
        <f>SUMIFS(Pagamentos!$E:$E,Pagamentos!$F:$F,TRUE,Pagamentos!$C:$C,$C72,Pagamentos!$D:$D,O$2)</f>
        <v>0</v>
      </c>
      <c r="P72" s="32">
        <f>SUMIFS(Pagamentos!$E:$E,Pagamentos!$F:$F,TRUE,Pagamentos!$C:$C,$C72,Pagamentos!$D:$D,P$2)</f>
        <v>0</v>
      </c>
      <c r="Q72" s="33"/>
      <c r="R72" s="34" t="str">
        <f t="shared" si="2"/>
        <v/>
      </c>
      <c r="S72" s="46" t="str">
        <f ca="1">IFERROR(__xludf.DUMMYFUNCTION("SPARKLINE(SUM(E72:P72),{""charttype"",""bar"";""max"",$S$2})"),"")</f>
        <v/>
      </c>
      <c r="T72" s="36"/>
    </row>
    <row r="73" spans="1:20" ht="16.2" outlineLevel="1">
      <c r="A73" s="97"/>
      <c r="B73" s="38" t="str">
        <f t="array" ref="B73">IFERROR(INDEX(#REF!,MATCH(C73,#REF!,0)),"")</f>
        <v/>
      </c>
      <c r="C73" s="97"/>
      <c r="D73" s="97"/>
      <c r="E73" s="40">
        <f>SUMIFS(Pagamentos!$E:$E,Pagamentos!$F:$F,TRUE,Pagamentos!$C:$C,$C73,Pagamentos!$D:$D,E$2)</f>
        <v>0</v>
      </c>
      <c r="F73" s="40">
        <f>SUMIFS(Pagamentos!$E:$E,Pagamentos!$F:$F,TRUE,Pagamentos!$C:$C,$C73,Pagamentos!$D:$D,F$2)</f>
        <v>0</v>
      </c>
      <c r="G73" s="40">
        <f>SUMIFS(Pagamentos!$E:$E,Pagamentos!$F:$F,TRUE,Pagamentos!$C:$C,$C73,Pagamentos!$D:$D,G$2)</f>
        <v>0</v>
      </c>
      <c r="H73" s="40">
        <f>SUMIFS(Pagamentos!$E:$E,Pagamentos!$F:$F,TRUE,Pagamentos!$C:$C,$C73,Pagamentos!$D:$D,H$2)</f>
        <v>0</v>
      </c>
      <c r="I73" s="40">
        <f>SUMIFS(Pagamentos!$E:$E,Pagamentos!$F:$F,TRUE,Pagamentos!$C:$C,$C73,Pagamentos!$D:$D,I$2)</f>
        <v>0</v>
      </c>
      <c r="J73" s="40">
        <f>SUMIFS(Pagamentos!$E:$E,Pagamentos!$F:$F,TRUE,Pagamentos!$C:$C,$C73,Pagamentos!$D:$D,J$2)</f>
        <v>0</v>
      </c>
      <c r="K73" s="40">
        <f>SUMIFS(Pagamentos!$E:$E,Pagamentos!$F:$F,TRUE,Pagamentos!$C:$C,$C73,Pagamentos!$D:$D,K$2)</f>
        <v>0</v>
      </c>
      <c r="L73" s="40">
        <f>SUMIFS(Pagamentos!$E:$E,Pagamentos!$F:$F,TRUE,Pagamentos!$C:$C,$C73,Pagamentos!$D:$D,L$2)</f>
        <v>0</v>
      </c>
      <c r="M73" s="40">
        <f>SUMIFS(Pagamentos!$E:$E,Pagamentos!$F:$F,TRUE,Pagamentos!$C:$C,$C73,Pagamentos!$D:$D,M$2)</f>
        <v>0</v>
      </c>
      <c r="N73" s="40">
        <f>SUMIFS(Pagamentos!$E:$E,Pagamentos!$F:$F,TRUE,Pagamentos!$C:$C,$C73,Pagamentos!$D:$D,N$2)</f>
        <v>0</v>
      </c>
      <c r="O73" s="40">
        <f>SUMIFS(Pagamentos!$E:$E,Pagamentos!$F:$F,TRUE,Pagamentos!$C:$C,$C73,Pagamentos!$D:$D,O$2)</f>
        <v>0</v>
      </c>
      <c r="P73" s="40">
        <f>SUMIFS(Pagamentos!$E:$E,Pagamentos!$F:$F,TRUE,Pagamentos!$C:$C,$C73,Pagamentos!$D:$D,P$2)</f>
        <v>0</v>
      </c>
      <c r="Q73" s="41"/>
      <c r="R73" s="42" t="str">
        <f t="shared" si="2"/>
        <v/>
      </c>
      <c r="S73" s="43" t="str">
        <f ca="1">IFERROR(__xludf.DUMMYFUNCTION("SPARKLINE(SUM(E73:P73),{""charttype"",""bar"";""max"",$S$2})"),"")</f>
        <v/>
      </c>
      <c r="T73" s="44"/>
    </row>
    <row r="74" spans="1:20" ht="16.2" outlineLevel="1">
      <c r="A74" s="103"/>
      <c r="B74" s="29" t="str">
        <f t="array" ref="B74">IFERROR(INDEX(#REF!,MATCH(C74,#REF!,0)),"")</f>
        <v/>
      </c>
      <c r="C74" s="100"/>
      <c r="D74" s="100"/>
      <c r="E74" s="32">
        <f>SUMIFS(Pagamentos!$E:$E,Pagamentos!$F:$F,TRUE,Pagamentos!$C:$C,$C74,Pagamentos!$D:$D,E$2)</f>
        <v>0</v>
      </c>
      <c r="F74" s="32">
        <f>SUMIFS(Pagamentos!$E:$E,Pagamentos!$F:$F,TRUE,Pagamentos!$C:$C,$C74,Pagamentos!$D:$D,F$2)</f>
        <v>0</v>
      </c>
      <c r="G74" s="32">
        <f>SUMIFS(Pagamentos!$E:$E,Pagamentos!$F:$F,TRUE,Pagamentos!$C:$C,$C74,Pagamentos!$D:$D,G$2)</f>
        <v>0</v>
      </c>
      <c r="H74" s="32">
        <f>SUMIFS(Pagamentos!$E:$E,Pagamentos!$F:$F,TRUE,Pagamentos!$C:$C,$C74,Pagamentos!$D:$D,H$2)</f>
        <v>0</v>
      </c>
      <c r="I74" s="32">
        <f>SUMIFS(Pagamentos!$E:$E,Pagamentos!$F:$F,TRUE,Pagamentos!$C:$C,$C74,Pagamentos!$D:$D,I$2)</f>
        <v>0</v>
      </c>
      <c r="J74" s="32">
        <f>SUMIFS(Pagamentos!$E:$E,Pagamentos!$F:$F,TRUE,Pagamentos!$C:$C,$C74,Pagamentos!$D:$D,J$2)</f>
        <v>0</v>
      </c>
      <c r="K74" s="32">
        <f>SUMIFS(Pagamentos!$E:$E,Pagamentos!$F:$F,TRUE,Pagamentos!$C:$C,$C74,Pagamentos!$D:$D,K$2)</f>
        <v>0</v>
      </c>
      <c r="L74" s="32">
        <f>SUMIFS(Pagamentos!$E:$E,Pagamentos!$F:$F,TRUE,Pagamentos!$C:$C,$C74,Pagamentos!$D:$D,L$2)</f>
        <v>0</v>
      </c>
      <c r="M74" s="32">
        <f>SUMIFS(Pagamentos!$E:$E,Pagamentos!$F:$F,TRUE,Pagamentos!$C:$C,$C74,Pagamentos!$D:$D,M$2)</f>
        <v>0</v>
      </c>
      <c r="N74" s="32">
        <f>SUMIFS(Pagamentos!$E:$E,Pagamentos!$F:$F,TRUE,Pagamentos!$C:$C,$C74,Pagamentos!$D:$D,N$2)</f>
        <v>0</v>
      </c>
      <c r="O74" s="32">
        <f>SUMIFS(Pagamentos!$E:$E,Pagamentos!$F:$F,TRUE,Pagamentos!$C:$C,$C74,Pagamentos!$D:$D,O$2)</f>
        <v>0</v>
      </c>
      <c r="P74" s="32">
        <f>SUMIFS(Pagamentos!$E:$E,Pagamentos!$F:$F,TRUE,Pagamentos!$C:$C,$C74,Pagamentos!$D:$D,P$2)</f>
        <v>0</v>
      </c>
      <c r="Q74" s="33"/>
      <c r="R74" s="34" t="str">
        <f t="shared" si="2"/>
        <v/>
      </c>
      <c r="S74" s="73" t="str">
        <f ca="1">IFERROR(__xludf.DUMMYFUNCTION("SPARKLINE(SUM(E74:P74),{""charttype"",""bar"";""max"",$S$2})"),"")</f>
        <v/>
      </c>
      <c r="T74" s="74"/>
    </row>
    <row r="75" spans="1:20" ht="16.2" outlineLevel="1">
      <c r="A75" s="97"/>
      <c r="B75" s="38" t="str">
        <f t="array" ref="B75">IFERROR(INDEX(#REF!,MATCH(C75,#REF!,0)),"")</f>
        <v/>
      </c>
      <c r="C75" s="97"/>
      <c r="D75" s="97"/>
      <c r="E75" s="40">
        <f>SUMIFS(Pagamentos!$E:$E,Pagamentos!$F:$F,TRUE,Pagamentos!$C:$C,$C75,Pagamentos!$D:$D,E$2)</f>
        <v>0</v>
      </c>
      <c r="F75" s="40">
        <f>SUMIFS(Pagamentos!$E:$E,Pagamentos!$F:$F,TRUE,Pagamentos!$C:$C,$C75,Pagamentos!$D:$D,F$2)</f>
        <v>0</v>
      </c>
      <c r="G75" s="40">
        <f>SUMIFS(Pagamentos!$E:$E,Pagamentos!$F:$F,TRUE,Pagamentos!$C:$C,$C75,Pagamentos!$D:$D,G$2)</f>
        <v>0</v>
      </c>
      <c r="H75" s="40">
        <f>SUMIFS(Pagamentos!$E:$E,Pagamentos!$F:$F,TRUE,Pagamentos!$C:$C,$C75,Pagamentos!$D:$D,H$2)</f>
        <v>0</v>
      </c>
      <c r="I75" s="40">
        <f>SUMIFS(Pagamentos!$E:$E,Pagamentos!$F:$F,TRUE,Pagamentos!$C:$C,$C75,Pagamentos!$D:$D,I$2)</f>
        <v>0</v>
      </c>
      <c r="J75" s="40">
        <f>SUMIFS(Pagamentos!$E:$E,Pagamentos!$F:$F,TRUE,Pagamentos!$C:$C,$C75,Pagamentos!$D:$D,J$2)</f>
        <v>0</v>
      </c>
      <c r="K75" s="40">
        <f>SUMIFS(Pagamentos!$E:$E,Pagamentos!$F:$F,TRUE,Pagamentos!$C:$C,$C75,Pagamentos!$D:$D,K$2)</f>
        <v>0</v>
      </c>
      <c r="L75" s="40">
        <f>SUMIFS(Pagamentos!$E:$E,Pagamentos!$F:$F,TRUE,Pagamentos!$C:$C,$C75,Pagamentos!$D:$D,L$2)</f>
        <v>0</v>
      </c>
      <c r="M75" s="40">
        <f>SUMIFS(Pagamentos!$E:$E,Pagamentos!$F:$F,TRUE,Pagamentos!$C:$C,$C75,Pagamentos!$D:$D,M$2)</f>
        <v>0</v>
      </c>
      <c r="N75" s="40">
        <f>SUMIFS(Pagamentos!$E:$E,Pagamentos!$F:$F,TRUE,Pagamentos!$C:$C,$C75,Pagamentos!$D:$D,N$2)</f>
        <v>0</v>
      </c>
      <c r="O75" s="40">
        <f>SUMIFS(Pagamentos!$E:$E,Pagamentos!$F:$F,TRUE,Pagamentos!$C:$C,$C75,Pagamentos!$D:$D,O$2)</f>
        <v>0</v>
      </c>
      <c r="P75" s="40">
        <f>SUMIFS(Pagamentos!$E:$E,Pagamentos!$F:$F,TRUE,Pagamentos!$C:$C,$C75,Pagamentos!$D:$D,P$2)</f>
        <v>0</v>
      </c>
      <c r="Q75" s="41"/>
      <c r="R75" s="42" t="str">
        <f t="shared" si="2"/>
        <v/>
      </c>
      <c r="S75" s="43" t="str">
        <f ca="1">IFERROR(__xludf.DUMMYFUNCTION("SPARKLINE(SUM(E75:P75),{""charttype"",""bar"";""max"",$S$2})"),"")</f>
        <v/>
      </c>
      <c r="T75" s="44"/>
    </row>
    <row r="76" spans="1:20" ht="16.2" outlineLevel="1">
      <c r="A76" s="100"/>
      <c r="B76" s="29" t="str">
        <f t="array" ref="B76">IFERROR(INDEX(#REF!,MATCH(C76,#REF!,0)),"")</f>
        <v/>
      </c>
      <c r="C76" s="100"/>
      <c r="D76" s="100"/>
      <c r="E76" s="32">
        <f>SUMIFS(Pagamentos!$E:$E,Pagamentos!$F:$F,TRUE,Pagamentos!$C:$C,$C76,Pagamentos!$D:$D,E$2)</f>
        <v>0</v>
      </c>
      <c r="F76" s="32">
        <f>SUMIFS(Pagamentos!$E:$E,Pagamentos!$F:$F,TRUE,Pagamentos!$C:$C,$C76,Pagamentos!$D:$D,F$2)</f>
        <v>0</v>
      </c>
      <c r="G76" s="32">
        <f>SUMIFS(Pagamentos!$E:$E,Pagamentos!$F:$F,TRUE,Pagamentos!$C:$C,$C76,Pagamentos!$D:$D,G$2)</f>
        <v>0</v>
      </c>
      <c r="H76" s="32">
        <f>SUMIFS(Pagamentos!$E:$E,Pagamentos!$F:$F,TRUE,Pagamentos!$C:$C,$C76,Pagamentos!$D:$D,H$2)</f>
        <v>0</v>
      </c>
      <c r="I76" s="32">
        <f>SUMIFS(Pagamentos!$E:$E,Pagamentos!$F:$F,TRUE,Pagamentos!$C:$C,$C76,Pagamentos!$D:$D,I$2)</f>
        <v>0</v>
      </c>
      <c r="J76" s="32">
        <f>SUMIFS(Pagamentos!$E:$E,Pagamentos!$F:$F,TRUE,Pagamentos!$C:$C,$C76,Pagamentos!$D:$D,J$2)</f>
        <v>0</v>
      </c>
      <c r="K76" s="32">
        <f>SUMIFS(Pagamentos!$E:$E,Pagamentos!$F:$F,TRUE,Pagamentos!$C:$C,$C76,Pagamentos!$D:$D,K$2)</f>
        <v>0</v>
      </c>
      <c r="L76" s="32">
        <f>SUMIFS(Pagamentos!$E:$E,Pagamentos!$F:$F,TRUE,Pagamentos!$C:$C,$C76,Pagamentos!$D:$D,L$2)</f>
        <v>0</v>
      </c>
      <c r="M76" s="32">
        <f>SUMIFS(Pagamentos!$E:$E,Pagamentos!$F:$F,TRUE,Pagamentos!$C:$C,$C76,Pagamentos!$D:$D,M$2)</f>
        <v>0</v>
      </c>
      <c r="N76" s="32">
        <f>SUMIFS(Pagamentos!$E:$E,Pagamentos!$F:$F,TRUE,Pagamentos!$C:$C,$C76,Pagamentos!$D:$D,N$2)</f>
        <v>0</v>
      </c>
      <c r="O76" s="32">
        <f>SUMIFS(Pagamentos!$E:$E,Pagamentos!$F:$F,TRUE,Pagamentos!$C:$C,$C76,Pagamentos!$D:$D,O$2)</f>
        <v>0</v>
      </c>
      <c r="P76" s="32">
        <f>SUMIFS(Pagamentos!$E:$E,Pagamentos!$F:$F,TRUE,Pagamentos!$C:$C,$C76,Pagamentos!$D:$D,P$2)</f>
        <v>0</v>
      </c>
      <c r="Q76" s="33"/>
      <c r="R76" s="34" t="str">
        <f t="shared" si="2"/>
        <v/>
      </c>
      <c r="S76" s="46" t="str">
        <f ca="1">IFERROR(__xludf.DUMMYFUNCTION("SPARKLINE(SUM(E76:P76),{""charttype"",""bar"";""max"",$S$2})"),"")</f>
        <v/>
      </c>
      <c r="T76" s="36"/>
    </row>
    <row r="77" spans="1:20" ht="16.2" outlineLevel="1">
      <c r="A77" s="97"/>
      <c r="B77" s="38" t="str">
        <f t="array" ref="B77">IFERROR(INDEX(#REF!,MATCH(C77,#REF!,0)),"")</f>
        <v/>
      </c>
      <c r="C77" s="97"/>
      <c r="D77" s="97"/>
      <c r="E77" s="40">
        <f>SUMIFS(Pagamentos!$E:$E,Pagamentos!$F:$F,TRUE,Pagamentos!$C:$C,$C77,Pagamentos!$D:$D,E$2)</f>
        <v>0</v>
      </c>
      <c r="F77" s="40">
        <f>SUMIFS(Pagamentos!$E:$E,Pagamentos!$F:$F,TRUE,Pagamentos!$C:$C,$C77,Pagamentos!$D:$D,F$2)</f>
        <v>0</v>
      </c>
      <c r="G77" s="40">
        <f>SUMIFS(Pagamentos!$E:$E,Pagamentos!$F:$F,TRUE,Pagamentos!$C:$C,$C77,Pagamentos!$D:$D,G$2)</f>
        <v>0</v>
      </c>
      <c r="H77" s="40">
        <f>SUMIFS(Pagamentos!$E:$E,Pagamentos!$F:$F,TRUE,Pagamentos!$C:$C,$C77,Pagamentos!$D:$D,H$2)</f>
        <v>0</v>
      </c>
      <c r="I77" s="40">
        <f>SUMIFS(Pagamentos!$E:$E,Pagamentos!$F:$F,TRUE,Pagamentos!$C:$C,$C77,Pagamentos!$D:$D,I$2)</f>
        <v>0</v>
      </c>
      <c r="J77" s="40">
        <f>SUMIFS(Pagamentos!$E:$E,Pagamentos!$F:$F,TRUE,Pagamentos!$C:$C,$C77,Pagamentos!$D:$D,J$2)</f>
        <v>0</v>
      </c>
      <c r="K77" s="40">
        <f>SUMIFS(Pagamentos!$E:$E,Pagamentos!$F:$F,TRUE,Pagamentos!$C:$C,$C77,Pagamentos!$D:$D,K$2)</f>
        <v>0</v>
      </c>
      <c r="L77" s="40">
        <f>SUMIFS(Pagamentos!$E:$E,Pagamentos!$F:$F,TRUE,Pagamentos!$C:$C,$C77,Pagamentos!$D:$D,L$2)</f>
        <v>0</v>
      </c>
      <c r="M77" s="40">
        <f>SUMIFS(Pagamentos!$E:$E,Pagamentos!$F:$F,TRUE,Pagamentos!$C:$C,$C77,Pagamentos!$D:$D,M$2)</f>
        <v>0</v>
      </c>
      <c r="N77" s="40">
        <f>SUMIFS(Pagamentos!$E:$E,Pagamentos!$F:$F,TRUE,Pagamentos!$C:$C,$C77,Pagamentos!$D:$D,N$2)</f>
        <v>0</v>
      </c>
      <c r="O77" s="40">
        <f>SUMIFS(Pagamentos!$E:$E,Pagamentos!$F:$F,TRUE,Pagamentos!$C:$C,$C77,Pagamentos!$D:$D,O$2)</f>
        <v>0</v>
      </c>
      <c r="P77" s="40">
        <f>SUMIFS(Pagamentos!$E:$E,Pagamentos!$F:$F,TRUE,Pagamentos!$C:$C,$C77,Pagamentos!$D:$D,P$2)</f>
        <v>0</v>
      </c>
      <c r="Q77" s="41"/>
      <c r="R77" s="42" t="str">
        <f t="shared" si="2"/>
        <v/>
      </c>
      <c r="S77" s="43" t="str">
        <f ca="1">IFERROR(__xludf.DUMMYFUNCTION("SPARKLINE(SUM(E77:P77),{""charttype"",""bar"";""max"",$S$2})"),"")</f>
        <v/>
      </c>
      <c r="T77" s="44"/>
    </row>
    <row r="78" spans="1:20" ht="16.2" outlineLevel="1">
      <c r="A78" s="100"/>
      <c r="B78" s="29" t="str">
        <f t="array" ref="B78">IFERROR(INDEX(#REF!,MATCH(C78,#REF!,0)),"")</f>
        <v/>
      </c>
      <c r="C78" s="100"/>
      <c r="D78" s="100"/>
      <c r="E78" s="32">
        <f>SUMIFS(Pagamentos!$E:$E,Pagamentos!$F:$F,TRUE,Pagamentos!$C:$C,$C78,Pagamentos!$D:$D,E$2)</f>
        <v>0</v>
      </c>
      <c r="F78" s="32">
        <f>SUMIFS(Pagamentos!$E:$E,Pagamentos!$F:$F,TRUE,Pagamentos!$C:$C,$C78,Pagamentos!$D:$D,F$2)</f>
        <v>0</v>
      </c>
      <c r="G78" s="32">
        <f>SUMIFS(Pagamentos!$E:$E,Pagamentos!$F:$F,TRUE,Pagamentos!$C:$C,$C78,Pagamentos!$D:$D,G$2)</f>
        <v>0</v>
      </c>
      <c r="H78" s="32">
        <f>SUMIFS(Pagamentos!$E:$E,Pagamentos!$F:$F,TRUE,Pagamentos!$C:$C,$C78,Pagamentos!$D:$D,H$2)</f>
        <v>0</v>
      </c>
      <c r="I78" s="32">
        <f>SUMIFS(Pagamentos!$E:$E,Pagamentos!$F:$F,TRUE,Pagamentos!$C:$C,$C78,Pagamentos!$D:$D,I$2)</f>
        <v>0</v>
      </c>
      <c r="J78" s="32">
        <f>SUMIFS(Pagamentos!$E:$E,Pagamentos!$F:$F,TRUE,Pagamentos!$C:$C,$C78,Pagamentos!$D:$D,J$2)</f>
        <v>0</v>
      </c>
      <c r="K78" s="32">
        <f>SUMIFS(Pagamentos!$E:$E,Pagamentos!$F:$F,TRUE,Pagamentos!$C:$C,$C78,Pagamentos!$D:$D,K$2)</f>
        <v>0</v>
      </c>
      <c r="L78" s="32">
        <f>SUMIFS(Pagamentos!$E:$E,Pagamentos!$F:$F,TRUE,Pagamentos!$C:$C,$C78,Pagamentos!$D:$D,L$2)</f>
        <v>0</v>
      </c>
      <c r="M78" s="32">
        <f>SUMIFS(Pagamentos!$E:$E,Pagamentos!$F:$F,TRUE,Pagamentos!$C:$C,$C78,Pagamentos!$D:$D,M$2)</f>
        <v>0</v>
      </c>
      <c r="N78" s="32">
        <f>SUMIFS(Pagamentos!$E:$E,Pagamentos!$F:$F,TRUE,Pagamentos!$C:$C,$C78,Pagamentos!$D:$D,N$2)</f>
        <v>0</v>
      </c>
      <c r="O78" s="32">
        <f>SUMIFS(Pagamentos!$E:$E,Pagamentos!$F:$F,TRUE,Pagamentos!$C:$C,$C78,Pagamentos!$D:$D,O$2)</f>
        <v>0</v>
      </c>
      <c r="P78" s="32">
        <f>SUMIFS(Pagamentos!$E:$E,Pagamentos!$F:$F,TRUE,Pagamentos!$C:$C,$C78,Pagamentos!$D:$D,P$2)</f>
        <v>0</v>
      </c>
      <c r="Q78" s="33"/>
      <c r="R78" s="34" t="str">
        <f t="shared" si="2"/>
        <v/>
      </c>
      <c r="S78" s="46" t="str">
        <f ca="1">IFERROR(__xludf.DUMMYFUNCTION("SPARKLINE(SUM(E78:P78),{""charttype"",""bar"";""max"",$S$2})"),"")</f>
        <v/>
      </c>
      <c r="T78" s="36"/>
    </row>
    <row r="79" spans="1:20" ht="16.2" outlineLevel="1">
      <c r="A79" s="97"/>
      <c r="B79" s="38" t="str">
        <f t="array" ref="B79">IFERROR(INDEX(#REF!,MATCH(C79,#REF!,0)),"")</f>
        <v/>
      </c>
      <c r="C79" s="97"/>
      <c r="D79" s="97"/>
      <c r="E79" s="40">
        <f>SUMIFS(Pagamentos!$E:$E,Pagamentos!$F:$F,TRUE,Pagamentos!$C:$C,$C79,Pagamentos!$D:$D,E$2)</f>
        <v>0</v>
      </c>
      <c r="F79" s="40">
        <f>SUMIFS(Pagamentos!$E:$E,Pagamentos!$F:$F,TRUE,Pagamentos!$C:$C,$C79,Pagamentos!$D:$D,F$2)</f>
        <v>0</v>
      </c>
      <c r="G79" s="40">
        <f>SUMIFS(Pagamentos!$E:$E,Pagamentos!$F:$F,TRUE,Pagamentos!$C:$C,$C79,Pagamentos!$D:$D,G$2)</f>
        <v>0</v>
      </c>
      <c r="H79" s="40">
        <f>SUMIFS(Pagamentos!$E:$E,Pagamentos!$F:$F,TRUE,Pagamentos!$C:$C,$C79,Pagamentos!$D:$D,H$2)</f>
        <v>0</v>
      </c>
      <c r="I79" s="40">
        <f>SUMIFS(Pagamentos!$E:$E,Pagamentos!$F:$F,TRUE,Pagamentos!$C:$C,$C79,Pagamentos!$D:$D,I$2)</f>
        <v>0</v>
      </c>
      <c r="J79" s="40">
        <f>SUMIFS(Pagamentos!$E:$E,Pagamentos!$F:$F,TRUE,Pagamentos!$C:$C,$C79,Pagamentos!$D:$D,J$2)</f>
        <v>0</v>
      </c>
      <c r="K79" s="40">
        <f>SUMIFS(Pagamentos!$E:$E,Pagamentos!$F:$F,TRUE,Pagamentos!$C:$C,$C79,Pagamentos!$D:$D,K$2)</f>
        <v>0</v>
      </c>
      <c r="L79" s="40">
        <f>SUMIFS(Pagamentos!$E:$E,Pagamentos!$F:$F,TRUE,Pagamentos!$C:$C,$C79,Pagamentos!$D:$D,L$2)</f>
        <v>0</v>
      </c>
      <c r="M79" s="40">
        <f>SUMIFS(Pagamentos!$E:$E,Pagamentos!$F:$F,TRUE,Pagamentos!$C:$C,$C79,Pagamentos!$D:$D,M$2)</f>
        <v>0</v>
      </c>
      <c r="N79" s="40">
        <f>SUMIFS(Pagamentos!$E:$E,Pagamentos!$F:$F,TRUE,Pagamentos!$C:$C,$C79,Pagamentos!$D:$D,N$2)</f>
        <v>0</v>
      </c>
      <c r="O79" s="40">
        <f>SUMIFS(Pagamentos!$E:$E,Pagamentos!$F:$F,TRUE,Pagamentos!$C:$C,$C79,Pagamentos!$D:$D,O$2)</f>
        <v>0</v>
      </c>
      <c r="P79" s="40">
        <f>SUMIFS(Pagamentos!$E:$E,Pagamentos!$F:$F,TRUE,Pagamentos!$C:$C,$C79,Pagamentos!$D:$D,P$2)</f>
        <v>0</v>
      </c>
      <c r="Q79" s="41"/>
      <c r="R79" s="42" t="str">
        <f t="shared" si="2"/>
        <v/>
      </c>
      <c r="S79" s="43" t="str">
        <f ca="1">IFERROR(__xludf.DUMMYFUNCTION("SPARKLINE(SUM(E79:P79),{""charttype"",""bar"";""max"",$S$2})"),"")</f>
        <v/>
      </c>
      <c r="T79" s="44"/>
    </row>
    <row r="80" spans="1:20" ht="16.2" outlineLevel="1">
      <c r="A80" s="100"/>
      <c r="B80" s="29" t="str">
        <f t="array" ref="B80">IFERROR(INDEX(#REF!,MATCH(C80,#REF!,0)),"")</f>
        <v/>
      </c>
      <c r="C80" s="100"/>
      <c r="D80" s="100"/>
      <c r="E80" s="32">
        <f>SUMIFS(Pagamentos!$E:$E,Pagamentos!$F:$F,TRUE,Pagamentos!$C:$C,$C80,Pagamentos!$D:$D,E$2)</f>
        <v>0</v>
      </c>
      <c r="F80" s="32">
        <f>SUMIFS(Pagamentos!$E:$E,Pagamentos!$F:$F,TRUE,Pagamentos!$C:$C,$C80,Pagamentos!$D:$D,F$2)</f>
        <v>0</v>
      </c>
      <c r="G80" s="32">
        <f>SUMIFS(Pagamentos!$E:$E,Pagamentos!$F:$F,TRUE,Pagamentos!$C:$C,$C80,Pagamentos!$D:$D,G$2)</f>
        <v>0</v>
      </c>
      <c r="H80" s="32">
        <f>SUMIFS(Pagamentos!$E:$E,Pagamentos!$F:$F,TRUE,Pagamentos!$C:$C,$C80,Pagamentos!$D:$D,H$2)</f>
        <v>0</v>
      </c>
      <c r="I80" s="32">
        <f>SUMIFS(Pagamentos!$E:$E,Pagamentos!$F:$F,TRUE,Pagamentos!$C:$C,$C80,Pagamentos!$D:$D,I$2)</f>
        <v>0</v>
      </c>
      <c r="J80" s="32">
        <f>SUMIFS(Pagamentos!$E:$E,Pagamentos!$F:$F,TRUE,Pagamentos!$C:$C,$C80,Pagamentos!$D:$D,J$2)</f>
        <v>0</v>
      </c>
      <c r="K80" s="32">
        <f>SUMIFS(Pagamentos!$E:$E,Pagamentos!$F:$F,TRUE,Pagamentos!$C:$C,$C80,Pagamentos!$D:$D,K$2)</f>
        <v>0</v>
      </c>
      <c r="L80" s="32">
        <f>SUMIFS(Pagamentos!$E:$E,Pagamentos!$F:$F,TRUE,Pagamentos!$C:$C,$C80,Pagamentos!$D:$D,L$2)</f>
        <v>0</v>
      </c>
      <c r="M80" s="32">
        <f>SUMIFS(Pagamentos!$E:$E,Pagamentos!$F:$F,TRUE,Pagamentos!$C:$C,$C80,Pagamentos!$D:$D,M$2)</f>
        <v>0</v>
      </c>
      <c r="N80" s="32">
        <f>SUMIFS(Pagamentos!$E:$E,Pagamentos!$F:$F,TRUE,Pagamentos!$C:$C,$C80,Pagamentos!$D:$D,N$2)</f>
        <v>0</v>
      </c>
      <c r="O80" s="32">
        <f>SUMIFS(Pagamentos!$E:$E,Pagamentos!$F:$F,TRUE,Pagamentos!$C:$C,$C80,Pagamentos!$D:$D,O$2)</f>
        <v>0</v>
      </c>
      <c r="P80" s="32">
        <f>SUMIFS(Pagamentos!$E:$E,Pagamentos!$F:$F,TRUE,Pagamentos!$C:$C,$C80,Pagamentos!$D:$D,P$2)</f>
        <v>0</v>
      </c>
      <c r="Q80" s="33"/>
      <c r="R80" s="34" t="str">
        <f t="shared" si="2"/>
        <v/>
      </c>
      <c r="S80" s="46" t="str">
        <f ca="1">IFERROR(__xludf.DUMMYFUNCTION("SPARKLINE(SUM(E80:P80),{""charttype"",""bar"";""max"",$S$2})"),"")</f>
        <v/>
      </c>
      <c r="T80" s="36"/>
    </row>
    <row r="81" spans="1:20" ht="16.2" outlineLevel="1">
      <c r="A81" s="97"/>
      <c r="B81" s="38" t="str">
        <f t="array" ref="B81">IFERROR(INDEX(#REF!,MATCH(C81,#REF!,0)),"")</f>
        <v/>
      </c>
      <c r="C81" s="97"/>
      <c r="D81" s="97"/>
      <c r="E81" s="40">
        <f>SUMIFS(Pagamentos!$E:$E,Pagamentos!$F:$F,TRUE,Pagamentos!$C:$C,$C81,Pagamentos!$D:$D,E$2)</f>
        <v>0</v>
      </c>
      <c r="F81" s="40">
        <f>SUMIFS(Pagamentos!$E:$E,Pagamentos!$F:$F,TRUE,Pagamentos!$C:$C,$C81,Pagamentos!$D:$D,F$2)</f>
        <v>0</v>
      </c>
      <c r="G81" s="40">
        <f>SUMIFS(Pagamentos!$E:$E,Pagamentos!$F:$F,TRUE,Pagamentos!$C:$C,$C81,Pagamentos!$D:$D,G$2)</f>
        <v>0</v>
      </c>
      <c r="H81" s="40">
        <f>SUMIFS(Pagamentos!$E:$E,Pagamentos!$F:$F,TRUE,Pagamentos!$C:$C,$C81,Pagamentos!$D:$D,H$2)</f>
        <v>0</v>
      </c>
      <c r="I81" s="40">
        <f>SUMIFS(Pagamentos!$E:$E,Pagamentos!$F:$F,TRUE,Pagamentos!$C:$C,$C81,Pagamentos!$D:$D,I$2)</f>
        <v>0</v>
      </c>
      <c r="J81" s="40">
        <f>SUMIFS(Pagamentos!$E:$E,Pagamentos!$F:$F,TRUE,Pagamentos!$C:$C,$C81,Pagamentos!$D:$D,J$2)</f>
        <v>0</v>
      </c>
      <c r="K81" s="40">
        <f>SUMIFS(Pagamentos!$E:$E,Pagamentos!$F:$F,TRUE,Pagamentos!$C:$C,$C81,Pagamentos!$D:$D,K$2)</f>
        <v>0</v>
      </c>
      <c r="L81" s="40">
        <f>SUMIFS(Pagamentos!$E:$E,Pagamentos!$F:$F,TRUE,Pagamentos!$C:$C,$C81,Pagamentos!$D:$D,L$2)</f>
        <v>0</v>
      </c>
      <c r="M81" s="40">
        <f>SUMIFS(Pagamentos!$E:$E,Pagamentos!$F:$F,TRUE,Pagamentos!$C:$C,$C81,Pagamentos!$D:$D,M$2)</f>
        <v>0</v>
      </c>
      <c r="N81" s="40">
        <f>SUMIFS(Pagamentos!$E:$E,Pagamentos!$F:$F,TRUE,Pagamentos!$C:$C,$C81,Pagamentos!$D:$D,N$2)</f>
        <v>0</v>
      </c>
      <c r="O81" s="40">
        <f>SUMIFS(Pagamentos!$E:$E,Pagamentos!$F:$F,TRUE,Pagamentos!$C:$C,$C81,Pagamentos!$D:$D,O$2)</f>
        <v>0</v>
      </c>
      <c r="P81" s="40">
        <f>SUMIFS(Pagamentos!$E:$E,Pagamentos!$F:$F,TRUE,Pagamentos!$C:$C,$C81,Pagamentos!$D:$D,P$2)</f>
        <v>0</v>
      </c>
      <c r="Q81" s="41"/>
      <c r="R81" s="42" t="str">
        <f t="shared" si="2"/>
        <v/>
      </c>
      <c r="S81" s="43" t="str">
        <f ca="1">IFERROR(__xludf.DUMMYFUNCTION("SPARKLINE(SUM(E81:P81),{""charttype"",""bar"";""max"",$S$2})"),"")</f>
        <v/>
      </c>
      <c r="T81" s="44"/>
    </row>
    <row r="82" spans="1:20" ht="16.2" outlineLevel="1">
      <c r="A82" s="100"/>
      <c r="B82" s="29" t="str">
        <f t="array" ref="B82">IFERROR(INDEX(#REF!,MATCH(C82,#REF!,0)),"")</f>
        <v/>
      </c>
      <c r="C82" s="100"/>
      <c r="D82" s="100"/>
      <c r="E82" s="32">
        <f>SUMIFS(Pagamentos!$E:$E,Pagamentos!$F:$F,TRUE,Pagamentos!$C:$C,$C82,Pagamentos!$D:$D,E$2)</f>
        <v>0</v>
      </c>
      <c r="F82" s="32">
        <f>SUMIFS(Pagamentos!$E:$E,Pagamentos!$F:$F,TRUE,Pagamentos!$C:$C,$C82,Pagamentos!$D:$D,F$2)</f>
        <v>0</v>
      </c>
      <c r="G82" s="32">
        <f>SUMIFS(Pagamentos!$E:$E,Pagamentos!$F:$F,TRUE,Pagamentos!$C:$C,$C82,Pagamentos!$D:$D,G$2)</f>
        <v>0</v>
      </c>
      <c r="H82" s="32">
        <f>SUMIFS(Pagamentos!$E:$E,Pagamentos!$F:$F,TRUE,Pagamentos!$C:$C,$C82,Pagamentos!$D:$D,H$2)</f>
        <v>0</v>
      </c>
      <c r="I82" s="32">
        <f>SUMIFS(Pagamentos!$E:$E,Pagamentos!$F:$F,TRUE,Pagamentos!$C:$C,$C82,Pagamentos!$D:$D,I$2)</f>
        <v>0</v>
      </c>
      <c r="J82" s="32">
        <f>SUMIFS(Pagamentos!$E:$E,Pagamentos!$F:$F,TRUE,Pagamentos!$C:$C,$C82,Pagamentos!$D:$D,J$2)</f>
        <v>0</v>
      </c>
      <c r="K82" s="32">
        <f>SUMIFS(Pagamentos!$E:$E,Pagamentos!$F:$F,TRUE,Pagamentos!$C:$C,$C82,Pagamentos!$D:$D,K$2)</f>
        <v>0</v>
      </c>
      <c r="L82" s="32">
        <f>SUMIFS(Pagamentos!$E:$E,Pagamentos!$F:$F,TRUE,Pagamentos!$C:$C,$C82,Pagamentos!$D:$D,L$2)</f>
        <v>0</v>
      </c>
      <c r="M82" s="32">
        <f>SUMIFS(Pagamentos!$E:$E,Pagamentos!$F:$F,TRUE,Pagamentos!$C:$C,$C82,Pagamentos!$D:$D,M$2)</f>
        <v>0</v>
      </c>
      <c r="N82" s="32">
        <f>SUMIFS(Pagamentos!$E:$E,Pagamentos!$F:$F,TRUE,Pagamentos!$C:$C,$C82,Pagamentos!$D:$D,N$2)</f>
        <v>0</v>
      </c>
      <c r="O82" s="32">
        <f>SUMIFS(Pagamentos!$E:$E,Pagamentos!$F:$F,TRUE,Pagamentos!$C:$C,$C82,Pagamentos!$D:$D,O$2)</f>
        <v>0</v>
      </c>
      <c r="P82" s="32">
        <f>SUMIFS(Pagamentos!$E:$E,Pagamentos!$F:$F,TRUE,Pagamentos!$C:$C,$C82,Pagamentos!$D:$D,P$2)</f>
        <v>0</v>
      </c>
      <c r="Q82" s="33"/>
      <c r="R82" s="34" t="str">
        <f t="shared" si="2"/>
        <v/>
      </c>
      <c r="S82" s="46" t="str">
        <f ca="1">IFERROR(__xludf.DUMMYFUNCTION("SPARKLINE(SUM(E82:P82),{""charttype"",""bar"";""max"",$S$2})"),"")</f>
        <v/>
      </c>
      <c r="T82" s="36"/>
    </row>
    <row r="83" spans="1:20" ht="16.2" outlineLevel="1">
      <c r="A83" s="97"/>
      <c r="B83" s="38" t="str">
        <f t="array" ref="B83">IFERROR(INDEX(#REF!,MATCH(C83,#REF!,0)),"")</f>
        <v/>
      </c>
      <c r="C83" s="97"/>
      <c r="D83" s="97"/>
      <c r="E83" s="40">
        <f>SUMIFS(Pagamentos!$E:$E,Pagamentos!$F:$F,TRUE,Pagamentos!$C:$C,$C83,Pagamentos!$D:$D,E$2)</f>
        <v>0</v>
      </c>
      <c r="F83" s="40">
        <f>SUMIFS(Pagamentos!$E:$E,Pagamentos!$F:$F,TRUE,Pagamentos!$C:$C,$C83,Pagamentos!$D:$D,F$2)</f>
        <v>0</v>
      </c>
      <c r="G83" s="40">
        <f>SUMIFS(Pagamentos!$E:$E,Pagamentos!$F:$F,TRUE,Pagamentos!$C:$C,$C83,Pagamentos!$D:$D,G$2)</f>
        <v>0</v>
      </c>
      <c r="H83" s="40">
        <f>SUMIFS(Pagamentos!$E:$E,Pagamentos!$F:$F,TRUE,Pagamentos!$C:$C,$C83,Pagamentos!$D:$D,H$2)</f>
        <v>0</v>
      </c>
      <c r="I83" s="40">
        <f>SUMIFS(Pagamentos!$E:$E,Pagamentos!$F:$F,TRUE,Pagamentos!$C:$C,$C83,Pagamentos!$D:$D,I$2)</f>
        <v>0</v>
      </c>
      <c r="J83" s="40">
        <f>SUMIFS(Pagamentos!$E:$E,Pagamentos!$F:$F,TRUE,Pagamentos!$C:$C,$C83,Pagamentos!$D:$D,J$2)</f>
        <v>0</v>
      </c>
      <c r="K83" s="40">
        <f>SUMIFS(Pagamentos!$E:$E,Pagamentos!$F:$F,TRUE,Pagamentos!$C:$C,$C83,Pagamentos!$D:$D,K$2)</f>
        <v>0</v>
      </c>
      <c r="L83" s="40">
        <f>SUMIFS(Pagamentos!$E:$E,Pagamentos!$F:$F,TRUE,Pagamentos!$C:$C,$C83,Pagamentos!$D:$D,L$2)</f>
        <v>0</v>
      </c>
      <c r="M83" s="40">
        <f>SUMIFS(Pagamentos!$E:$E,Pagamentos!$F:$F,TRUE,Pagamentos!$C:$C,$C83,Pagamentos!$D:$D,M$2)</f>
        <v>0</v>
      </c>
      <c r="N83" s="40">
        <f>SUMIFS(Pagamentos!$E:$E,Pagamentos!$F:$F,TRUE,Pagamentos!$C:$C,$C83,Pagamentos!$D:$D,N$2)</f>
        <v>0</v>
      </c>
      <c r="O83" s="40">
        <f>SUMIFS(Pagamentos!$E:$E,Pagamentos!$F:$F,TRUE,Pagamentos!$C:$C,$C83,Pagamentos!$D:$D,O$2)</f>
        <v>0</v>
      </c>
      <c r="P83" s="40">
        <f>SUMIFS(Pagamentos!$E:$E,Pagamentos!$F:$F,TRUE,Pagamentos!$C:$C,$C83,Pagamentos!$D:$D,P$2)</f>
        <v>0</v>
      </c>
      <c r="Q83" s="41"/>
      <c r="R83" s="42" t="str">
        <f t="shared" si="2"/>
        <v/>
      </c>
      <c r="S83" s="43" t="str">
        <f ca="1">IFERROR(__xludf.DUMMYFUNCTION("SPARKLINE(SUM(E83:P83),{""charttype"",""bar"";""max"",$S$2})"),"")</f>
        <v/>
      </c>
      <c r="T83" s="44"/>
    </row>
    <row r="84" spans="1:20" ht="16.2" outlineLevel="1">
      <c r="A84" s="100"/>
      <c r="B84" s="29" t="str">
        <f t="array" ref="B84">IFERROR(INDEX(#REF!,MATCH(C84,#REF!,0)),"")</f>
        <v/>
      </c>
      <c r="C84" s="100"/>
      <c r="D84" s="100"/>
      <c r="E84" s="32">
        <f>SUMIFS(Pagamentos!$E:$E,Pagamentos!$F:$F,TRUE,Pagamentos!$C:$C,$C84,Pagamentos!$D:$D,E$2)</f>
        <v>0</v>
      </c>
      <c r="F84" s="32">
        <f>SUMIFS(Pagamentos!$E:$E,Pagamentos!$F:$F,TRUE,Pagamentos!$C:$C,$C84,Pagamentos!$D:$D,F$2)</f>
        <v>0</v>
      </c>
      <c r="G84" s="32">
        <f>SUMIFS(Pagamentos!$E:$E,Pagamentos!$F:$F,TRUE,Pagamentos!$C:$C,$C84,Pagamentos!$D:$D,G$2)</f>
        <v>0</v>
      </c>
      <c r="H84" s="32">
        <f>SUMIFS(Pagamentos!$E:$E,Pagamentos!$F:$F,TRUE,Pagamentos!$C:$C,$C84,Pagamentos!$D:$D,H$2)</f>
        <v>0</v>
      </c>
      <c r="I84" s="32">
        <f>SUMIFS(Pagamentos!$E:$E,Pagamentos!$F:$F,TRUE,Pagamentos!$C:$C,$C84,Pagamentos!$D:$D,I$2)</f>
        <v>0</v>
      </c>
      <c r="J84" s="32">
        <f>SUMIFS(Pagamentos!$E:$E,Pagamentos!$F:$F,TRUE,Pagamentos!$C:$C,$C84,Pagamentos!$D:$D,J$2)</f>
        <v>0</v>
      </c>
      <c r="K84" s="32">
        <f>SUMIFS(Pagamentos!$E:$E,Pagamentos!$F:$F,TRUE,Pagamentos!$C:$C,$C84,Pagamentos!$D:$D,K$2)</f>
        <v>0</v>
      </c>
      <c r="L84" s="32">
        <f>SUMIFS(Pagamentos!$E:$E,Pagamentos!$F:$F,TRUE,Pagamentos!$C:$C,$C84,Pagamentos!$D:$D,L$2)</f>
        <v>0</v>
      </c>
      <c r="M84" s="32">
        <f>SUMIFS(Pagamentos!$E:$E,Pagamentos!$F:$F,TRUE,Pagamentos!$C:$C,$C84,Pagamentos!$D:$D,M$2)</f>
        <v>0</v>
      </c>
      <c r="N84" s="32">
        <f>SUMIFS(Pagamentos!$E:$E,Pagamentos!$F:$F,TRUE,Pagamentos!$C:$C,$C84,Pagamentos!$D:$D,N$2)</f>
        <v>0</v>
      </c>
      <c r="O84" s="32">
        <f>SUMIFS(Pagamentos!$E:$E,Pagamentos!$F:$F,TRUE,Pagamentos!$C:$C,$C84,Pagamentos!$D:$D,O$2)</f>
        <v>0</v>
      </c>
      <c r="P84" s="32">
        <f>SUMIFS(Pagamentos!$E:$E,Pagamentos!$F:$F,TRUE,Pagamentos!$C:$C,$C84,Pagamentos!$D:$D,P$2)</f>
        <v>0</v>
      </c>
      <c r="Q84" s="33"/>
      <c r="R84" s="34" t="str">
        <f t="shared" si="2"/>
        <v/>
      </c>
      <c r="S84" s="46" t="str">
        <f ca="1">IFERROR(__xludf.DUMMYFUNCTION("SPARKLINE(SUM(E84:P84),{""charttype"",""bar"";""max"",$S$2})"),"")</f>
        <v/>
      </c>
      <c r="T84" s="36"/>
    </row>
    <row r="85" spans="1:20" ht="16.2" outlineLevel="1">
      <c r="A85" s="97"/>
      <c r="B85" s="38" t="str">
        <f t="array" ref="B85">IFERROR(INDEX(#REF!,MATCH(C85,#REF!,0)),"")</f>
        <v/>
      </c>
      <c r="C85" s="97"/>
      <c r="D85" s="97"/>
      <c r="E85" s="40">
        <f>SUMIFS(Pagamentos!$E:$E,Pagamentos!$F:$F,TRUE,Pagamentos!$C:$C,$C85,Pagamentos!$D:$D,E$2)</f>
        <v>0</v>
      </c>
      <c r="F85" s="40">
        <f>SUMIFS(Pagamentos!$E:$E,Pagamentos!$F:$F,TRUE,Pagamentos!$C:$C,$C85,Pagamentos!$D:$D,F$2)</f>
        <v>0</v>
      </c>
      <c r="G85" s="40">
        <f>SUMIFS(Pagamentos!$E:$E,Pagamentos!$F:$F,TRUE,Pagamentos!$C:$C,$C85,Pagamentos!$D:$D,G$2)</f>
        <v>0</v>
      </c>
      <c r="H85" s="40">
        <f>SUMIFS(Pagamentos!$E:$E,Pagamentos!$F:$F,TRUE,Pagamentos!$C:$C,$C85,Pagamentos!$D:$D,H$2)</f>
        <v>0</v>
      </c>
      <c r="I85" s="40">
        <f>SUMIFS(Pagamentos!$E:$E,Pagamentos!$F:$F,TRUE,Pagamentos!$C:$C,$C85,Pagamentos!$D:$D,I$2)</f>
        <v>0</v>
      </c>
      <c r="J85" s="40">
        <f>SUMIFS(Pagamentos!$E:$E,Pagamentos!$F:$F,TRUE,Pagamentos!$C:$C,$C85,Pagamentos!$D:$D,J$2)</f>
        <v>0</v>
      </c>
      <c r="K85" s="40">
        <f>SUMIFS(Pagamentos!$E:$E,Pagamentos!$F:$F,TRUE,Pagamentos!$C:$C,$C85,Pagamentos!$D:$D,K$2)</f>
        <v>0</v>
      </c>
      <c r="L85" s="40">
        <f>SUMIFS(Pagamentos!$E:$E,Pagamentos!$F:$F,TRUE,Pagamentos!$C:$C,$C85,Pagamentos!$D:$D,L$2)</f>
        <v>0</v>
      </c>
      <c r="M85" s="40">
        <f>SUMIFS(Pagamentos!$E:$E,Pagamentos!$F:$F,TRUE,Pagamentos!$C:$C,$C85,Pagamentos!$D:$D,M$2)</f>
        <v>0</v>
      </c>
      <c r="N85" s="40">
        <f>SUMIFS(Pagamentos!$E:$E,Pagamentos!$F:$F,TRUE,Pagamentos!$C:$C,$C85,Pagamentos!$D:$D,N$2)</f>
        <v>0</v>
      </c>
      <c r="O85" s="40">
        <f>SUMIFS(Pagamentos!$E:$E,Pagamentos!$F:$F,TRUE,Pagamentos!$C:$C,$C85,Pagamentos!$D:$D,O$2)</f>
        <v>0</v>
      </c>
      <c r="P85" s="40">
        <f>SUMIFS(Pagamentos!$E:$E,Pagamentos!$F:$F,TRUE,Pagamentos!$C:$C,$C85,Pagamentos!$D:$D,P$2)</f>
        <v>0</v>
      </c>
      <c r="Q85" s="41"/>
      <c r="R85" s="42" t="str">
        <f t="shared" si="2"/>
        <v/>
      </c>
      <c r="S85" s="43" t="str">
        <f ca="1">IFERROR(__xludf.DUMMYFUNCTION("SPARKLINE(SUM(E85:P85),{""charttype"",""bar"";""max"",$S$2})"),"")</f>
        <v/>
      </c>
      <c r="T85" s="44"/>
    </row>
    <row r="86" spans="1:20" ht="16.2" outlineLevel="1">
      <c r="A86" s="100"/>
      <c r="B86" s="29" t="str">
        <f t="array" ref="B86">IFERROR(INDEX(#REF!,MATCH(C86,#REF!,0)),"")</f>
        <v/>
      </c>
      <c r="C86" s="100"/>
      <c r="D86" s="100"/>
      <c r="E86" s="32">
        <f>SUMIFS(Pagamentos!$E:$E,Pagamentos!$F:$F,TRUE,Pagamentos!$C:$C,$C86,Pagamentos!$D:$D,E$2)</f>
        <v>0</v>
      </c>
      <c r="F86" s="32">
        <f>SUMIFS(Pagamentos!$E:$E,Pagamentos!$F:$F,TRUE,Pagamentos!$C:$C,$C86,Pagamentos!$D:$D,F$2)</f>
        <v>0</v>
      </c>
      <c r="G86" s="32">
        <f>SUMIFS(Pagamentos!$E:$E,Pagamentos!$F:$F,TRUE,Pagamentos!$C:$C,$C86,Pagamentos!$D:$D,G$2)</f>
        <v>0</v>
      </c>
      <c r="H86" s="32">
        <f>SUMIFS(Pagamentos!$E:$E,Pagamentos!$F:$F,TRUE,Pagamentos!$C:$C,$C86,Pagamentos!$D:$D,H$2)</f>
        <v>0</v>
      </c>
      <c r="I86" s="32">
        <f>SUMIFS(Pagamentos!$E:$E,Pagamentos!$F:$F,TRUE,Pagamentos!$C:$C,$C86,Pagamentos!$D:$D,I$2)</f>
        <v>0</v>
      </c>
      <c r="J86" s="32">
        <f>SUMIFS(Pagamentos!$E:$E,Pagamentos!$F:$F,TRUE,Pagamentos!$C:$C,$C86,Pagamentos!$D:$D,J$2)</f>
        <v>0</v>
      </c>
      <c r="K86" s="32">
        <f>SUMIFS(Pagamentos!$E:$E,Pagamentos!$F:$F,TRUE,Pagamentos!$C:$C,$C86,Pagamentos!$D:$D,K$2)</f>
        <v>0</v>
      </c>
      <c r="L86" s="32">
        <f>SUMIFS(Pagamentos!$E:$E,Pagamentos!$F:$F,TRUE,Pagamentos!$C:$C,$C86,Pagamentos!$D:$D,L$2)</f>
        <v>0</v>
      </c>
      <c r="M86" s="32">
        <f>SUMIFS(Pagamentos!$E:$E,Pagamentos!$F:$F,TRUE,Pagamentos!$C:$C,$C86,Pagamentos!$D:$D,M$2)</f>
        <v>0</v>
      </c>
      <c r="N86" s="32">
        <f>SUMIFS(Pagamentos!$E:$E,Pagamentos!$F:$F,TRUE,Pagamentos!$C:$C,$C86,Pagamentos!$D:$D,N$2)</f>
        <v>0</v>
      </c>
      <c r="O86" s="32">
        <f>SUMIFS(Pagamentos!$E:$E,Pagamentos!$F:$F,TRUE,Pagamentos!$C:$C,$C86,Pagamentos!$D:$D,O$2)</f>
        <v>0</v>
      </c>
      <c r="P86" s="32">
        <f>SUMIFS(Pagamentos!$E:$E,Pagamentos!$F:$F,TRUE,Pagamentos!$C:$C,$C86,Pagamentos!$D:$D,P$2)</f>
        <v>0</v>
      </c>
      <c r="Q86" s="33"/>
      <c r="R86" s="34" t="str">
        <f t="shared" si="2"/>
        <v/>
      </c>
      <c r="S86" s="46" t="str">
        <f ca="1">IFERROR(__xludf.DUMMYFUNCTION("SPARKLINE(SUM(E86:P86),{""charttype"",""bar"";""max"",$S$2})"),"")</f>
        <v/>
      </c>
      <c r="T86" s="36"/>
    </row>
    <row r="87" spans="1:20" ht="16.2" outlineLevel="1">
      <c r="A87" s="97"/>
      <c r="B87" s="38" t="str">
        <f t="array" ref="B87">IFERROR(INDEX(#REF!,MATCH(C87,#REF!,0)),"")</f>
        <v/>
      </c>
      <c r="C87" s="97"/>
      <c r="D87" s="97"/>
      <c r="E87" s="40">
        <f>SUMIFS(Pagamentos!$E:$E,Pagamentos!$F:$F,TRUE,Pagamentos!$C:$C,$C87,Pagamentos!$D:$D,E$2)</f>
        <v>0</v>
      </c>
      <c r="F87" s="40">
        <f>SUMIFS(Pagamentos!$E:$E,Pagamentos!$F:$F,TRUE,Pagamentos!$C:$C,$C87,Pagamentos!$D:$D,F$2)</f>
        <v>0</v>
      </c>
      <c r="G87" s="40">
        <f>SUMIFS(Pagamentos!$E:$E,Pagamentos!$F:$F,TRUE,Pagamentos!$C:$C,$C87,Pagamentos!$D:$D,G$2)</f>
        <v>0</v>
      </c>
      <c r="H87" s="40">
        <f>SUMIFS(Pagamentos!$E:$E,Pagamentos!$F:$F,TRUE,Pagamentos!$C:$C,$C87,Pagamentos!$D:$D,H$2)</f>
        <v>0</v>
      </c>
      <c r="I87" s="40">
        <f>SUMIFS(Pagamentos!$E:$E,Pagamentos!$F:$F,TRUE,Pagamentos!$C:$C,$C87,Pagamentos!$D:$D,I$2)</f>
        <v>0</v>
      </c>
      <c r="J87" s="40">
        <f>SUMIFS(Pagamentos!$E:$E,Pagamentos!$F:$F,TRUE,Pagamentos!$C:$C,$C87,Pagamentos!$D:$D,J$2)</f>
        <v>0</v>
      </c>
      <c r="K87" s="40">
        <f>SUMIFS(Pagamentos!$E:$E,Pagamentos!$F:$F,TRUE,Pagamentos!$C:$C,$C87,Pagamentos!$D:$D,K$2)</f>
        <v>0</v>
      </c>
      <c r="L87" s="40">
        <f>SUMIFS(Pagamentos!$E:$E,Pagamentos!$F:$F,TRUE,Pagamentos!$C:$C,$C87,Pagamentos!$D:$D,L$2)</f>
        <v>0</v>
      </c>
      <c r="M87" s="40">
        <f>SUMIFS(Pagamentos!$E:$E,Pagamentos!$F:$F,TRUE,Pagamentos!$C:$C,$C87,Pagamentos!$D:$D,M$2)</f>
        <v>0</v>
      </c>
      <c r="N87" s="40">
        <f>SUMIFS(Pagamentos!$E:$E,Pagamentos!$F:$F,TRUE,Pagamentos!$C:$C,$C87,Pagamentos!$D:$D,N$2)</f>
        <v>0</v>
      </c>
      <c r="O87" s="40">
        <f>SUMIFS(Pagamentos!$E:$E,Pagamentos!$F:$F,TRUE,Pagamentos!$C:$C,$C87,Pagamentos!$D:$D,O$2)</f>
        <v>0</v>
      </c>
      <c r="P87" s="40">
        <f>SUMIFS(Pagamentos!$E:$E,Pagamentos!$F:$F,TRUE,Pagamentos!$C:$C,$C87,Pagamentos!$D:$D,P$2)</f>
        <v>0</v>
      </c>
      <c r="Q87" s="41"/>
      <c r="R87" s="42" t="str">
        <f t="shared" si="2"/>
        <v/>
      </c>
      <c r="S87" s="43" t="str">
        <f ca="1">IFERROR(__xludf.DUMMYFUNCTION("SPARKLINE(SUM(E87:P87),{""charttype"",""bar"";""max"",$S$2})"),"")</f>
        <v/>
      </c>
      <c r="T87" s="44"/>
    </row>
    <row r="88" spans="1:20" ht="16.2" outlineLevel="1">
      <c r="A88" s="100"/>
      <c r="B88" s="29" t="str">
        <f t="array" ref="B88">IFERROR(INDEX(#REF!,MATCH(C88,#REF!,0)),"")</f>
        <v/>
      </c>
      <c r="C88" s="100"/>
      <c r="D88" s="100"/>
      <c r="E88" s="32">
        <f>SUMIFS(Pagamentos!$E:$E,Pagamentos!$F:$F,TRUE,Pagamentos!$C:$C,$C88,Pagamentos!$D:$D,E$2)</f>
        <v>0</v>
      </c>
      <c r="F88" s="32">
        <f>SUMIFS(Pagamentos!$E:$E,Pagamentos!$F:$F,TRUE,Pagamentos!$C:$C,$C88,Pagamentos!$D:$D,F$2)</f>
        <v>0</v>
      </c>
      <c r="G88" s="32">
        <f>SUMIFS(Pagamentos!$E:$E,Pagamentos!$F:$F,TRUE,Pagamentos!$C:$C,$C88,Pagamentos!$D:$D,G$2)</f>
        <v>0</v>
      </c>
      <c r="H88" s="32">
        <f>SUMIFS(Pagamentos!$E:$E,Pagamentos!$F:$F,TRUE,Pagamentos!$C:$C,$C88,Pagamentos!$D:$D,H$2)</f>
        <v>0</v>
      </c>
      <c r="I88" s="32">
        <f>SUMIFS(Pagamentos!$E:$E,Pagamentos!$F:$F,TRUE,Pagamentos!$C:$C,$C88,Pagamentos!$D:$D,I$2)</f>
        <v>0</v>
      </c>
      <c r="J88" s="32">
        <f>SUMIFS(Pagamentos!$E:$E,Pagamentos!$F:$F,TRUE,Pagamentos!$C:$C,$C88,Pagamentos!$D:$D,J$2)</f>
        <v>0</v>
      </c>
      <c r="K88" s="32">
        <f>SUMIFS(Pagamentos!$E:$E,Pagamentos!$F:$F,TRUE,Pagamentos!$C:$C,$C88,Pagamentos!$D:$D,K$2)</f>
        <v>0</v>
      </c>
      <c r="L88" s="32">
        <f>SUMIFS(Pagamentos!$E:$E,Pagamentos!$F:$F,TRUE,Pagamentos!$C:$C,$C88,Pagamentos!$D:$D,L$2)</f>
        <v>0</v>
      </c>
      <c r="M88" s="32">
        <f>SUMIFS(Pagamentos!$E:$E,Pagamentos!$F:$F,TRUE,Pagamentos!$C:$C,$C88,Pagamentos!$D:$D,M$2)</f>
        <v>0</v>
      </c>
      <c r="N88" s="32">
        <f>SUMIFS(Pagamentos!$E:$E,Pagamentos!$F:$F,TRUE,Pagamentos!$C:$C,$C88,Pagamentos!$D:$D,N$2)</f>
        <v>0</v>
      </c>
      <c r="O88" s="32">
        <f>SUMIFS(Pagamentos!$E:$E,Pagamentos!$F:$F,TRUE,Pagamentos!$C:$C,$C88,Pagamentos!$D:$D,O$2)</f>
        <v>0</v>
      </c>
      <c r="P88" s="32">
        <f>SUMIFS(Pagamentos!$E:$E,Pagamentos!$F:$F,TRUE,Pagamentos!$C:$C,$C88,Pagamentos!$D:$D,P$2)</f>
        <v>0</v>
      </c>
      <c r="Q88" s="33"/>
      <c r="R88" s="34" t="str">
        <f t="shared" si="2"/>
        <v/>
      </c>
      <c r="S88" s="46" t="str">
        <f ca="1">IFERROR(__xludf.DUMMYFUNCTION("SPARKLINE(SUM(E88:P88),{""charttype"",""bar"";""max"",$S$2})"),"")</f>
        <v/>
      </c>
      <c r="T88" s="36"/>
    </row>
    <row r="89" spans="1:20" ht="16.2" outlineLevel="1">
      <c r="A89" s="97"/>
      <c r="B89" s="38" t="str">
        <f t="array" ref="B89">IFERROR(INDEX(#REF!,MATCH(C89,#REF!,0)),"")</f>
        <v/>
      </c>
      <c r="C89" s="97"/>
      <c r="D89" s="97"/>
      <c r="E89" s="40">
        <f>SUMIFS(Pagamentos!$E:$E,Pagamentos!$F:$F,TRUE,Pagamentos!$C:$C,$C89,Pagamentos!$D:$D,E$2)</f>
        <v>0</v>
      </c>
      <c r="F89" s="40">
        <f>SUMIFS(Pagamentos!$E:$E,Pagamentos!$F:$F,TRUE,Pagamentos!$C:$C,$C89,Pagamentos!$D:$D,F$2)</f>
        <v>0</v>
      </c>
      <c r="G89" s="40">
        <f>SUMIFS(Pagamentos!$E:$E,Pagamentos!$F:$F,TRUE,Pagamentos!$C:$C,$C89,Pagamentos!$D:$D,G$2)</f>
        <v>0</v>
      </c>
      <c r="H89" s="40">
        <f>SUMIFS(Pagamentos!$E:$E,Pagamentos!$F:$F,TRUE,Pagamentos!$C:$C,$C89,Pagamentos!$D:$D,H$2)</f>
        <v>0</v>
      </c>
      <c r="I89" s="40">
        <f>SUMIFS(Pagamentos!$E:$E,Pagamentos!$F:$F,TRUE,Pagamentos!$C:$C,$C89,Pagamentos!$D:$D,I$2)</f>
        <v>0</v>
      </c>
      <c r="J89" s="40">
        <f>SUMIFS(Pagamentos!$E:$E,Pagamentos!$F:$F,TRUE,Pagamentos!$C:$C,$C89,Pagamentos!$D:$D,J$2)</f>
        <v>0</v>
      </c>
      <c r="K89" s="40">
        <f>SUMIFS(Pagamentos!$E:$E,Pagamentos!$F:$F,TRUE,Pagamentos!$C:$C,$C89,Pagamentos!$D:$D,K$2)</f>
        <v>0</v>
      </c>
      <c r="L89" s="40">
        <f>SUMIFS(Pagamentos!$E:$E,Pagamentos!$F:$F,TRUE,Pagamentos!$C:$C,$C89,Pagamentos!$D:$D,L$2)</f>
        <v>0</v>
      </c>
      <c r="M89" s="40">
        <f>SUMIFS(Pagamentos!$E:$E,Pagamentos!$F:$F,TRUE,Pagamentos!$C:$C,$C89,Pagamentos!$D:$D,M$2)</f>
        <v>0</v>
      </c>
      <c r="N89" s="40">
        <f>SUMIFS(Pagamentos!$E:$E,Pagamentos!$F:$F,TRUE,Pagamentos!$C:$C,$C89,Pagamentos!$D:$D,N$2)</f>
        <v>0</v>
      </c>
      <c r="O89" s="40">
        <f>SUMIFS(Pagamentos!$E:$E,Pagamentos!$F:$F,TRUE,Pagamentos!$C:$C,$C89,Pagamentos!$D:$D,O$2)</f>
        <v>0</v>
      </c>
      <c r="P89" s="40">
        <f>SUMIFS(Pagamentos!$E:$E,Pagamentos!$F:$F,TRUE,Pagamentos!$C:$C,$C89,Pagamentos!$D:$D,P$2)</f>
        <v>0</v>
      </c>
      <c r="Q89" s="41"/>
      <c r="R89" s="42" t="str">
        <f t="shared" si="2"/>
        <v/>
      </c>
      <c r="S89" s="43" t="str">
        <f ca="1">IFERROR(__xludf.DUMMYFUNCTION("SPARKLINE(SUM(E89:P89),{""charttype"",""bar"";""max"",$S$2})"),"")</f>
        <v/>
      </c>
      <c r="T89" s="44"/>
    </row>
    <row r="90" spans="1:20" ht="16.2" outlineLevel="1">
      <c r="A90" s="100"/>
      <c r="B90" s="29" t="str">
        <f t="array" ref="B90">IFERROR(INDEX(#REF!,MATCH(C90,#REF!,0)),"")</f>
        <v/>
      </c>
      <c r="C90" s="100"/>
      <c r="D90" s="100"/>
      <c r="E90" s="32">
        <f>SUMIFS(Pagamentos!$E:$E,Pagamentos!$F:$F,TRUE,Pagamentos!$C:$C,$C90,Pagamentos!$D:$D,E$2)</f>
        <v>0</v>
      </c>
      <c r="F90" s="32">
        <f>SUMIFS(Pagamentos!$E:$E,Pagamentos!$F:$F,TRUE,Pagamentos!$C:$C,$C90,Pagamentos!$D:$D,F$2)</f>
        <v>0</v>
      </c>
      <c r="G90" s="32">
        <f>SUMIFS(Pagamentos!$E:$E,Pagamentos!$F:$F,TRUE,Pagamentos!$C:$C,$C90,Pagamentos!$D:$D,G$2)</f>
        <v>0</v>
      </c>
      <c r="H90" s="32">
        <f>SUMIFS(Pagamentos!$E:$E,Pagamentos!$F:$F,TRUE,Pagamentos!$C:$C,$C90,Pagamentos!$D:$D,H$2)</f>
        <v>0</v>
      </c>
      <c r="I90" s="32">
        <f>SUMIFS(Pagamentos!$E:$E,Pagamentos!$F:$F,TRUE,Pagamentos!$C:$C,$C90,Pagamentos!$D:$D,I$2)</f>
        <v>0</v>
      </c>
      <c r="J90" s="32">
        <f>SUMIFS(Pagamentos!$E:$E,Pagamentos!$F:$F,TRUE,Pagamentos!$C:$C,$C90,Pagamentos!$D:$D,J$2)</f>
        <v>0</v>
      </c>
      <c r="K90" s="32">
        <f>SUMIFS(Pagamentos!$E:$E,Pagamentos!$F:$F,TRUE,Pagamentos!$C:$C,$C90,Pagamentos!$D:$D,K$2)</f>
        <v>0</v>
      </c>
      <c r="L90" s="32">
        <f>SUMIFS(Pagamentos!$E:$E,Pagamentos!$F:$F,TRUE,Pagamentos!$C:$C,$C90,Pagamentos!$D:$D,L$2)</f>
        <v>0</v>
      </c>
      <c r="M90" s="32">
        <f>SUMIFS(Pagamentos!$E:$E,Pagamentos!$F:$F,TRUE,Pagamentos!$C:$C,$C90,Pagamentos!$D:$D,M$2)</f>
        <v>0</v>
      </c>
      <c r="N90" s="32">
        <f>SUMIFS(Pagamentos!$E:$E,Pagamentos!$F:$F,TRUE,Pagamentos!$C:$C,$C90,Pagamentos!$D:$D,N$2)</f>
        <v>0</v>
      </c>
      <c r="O90" s="32">
        <f>SUMIFS(Pagamentos!$E:$E,Pagamentos!$F:$F,TRUE,Pagamentos!$C:$C,$C90,Pagamentos!$D:$D,O$2)</f>
        <v>0</v>
      </c>
      <c r="P90" s="32">
        <f>SUMIFS(Pagamentos!$E:$E,Pagamentos!$F:$F,TRUE,Pagamentos!$C:$C,$C90,Pagamentos!$D:$D,P$2)</f>
        <v>0</v>
      </c>
      <c r="Q90" s="33"/>
      <c r="R90" s="34" t="str">
        <f t="shared" si="2"/>
        <v/>
      </c>
      <c r="S90" s="46" t="str">
        <f ca="1">IFERROR(__xludf.DUMMYFUNCTION("SPARKLINE(SUM(E90:P90),{""charttype"",""bar"";""max"",$S$2})"),"")</f>
        <v/>
      </c>
      <c r="T90" s="36"/>
    </row>
    <row r="91" spans="1:20" ht="16.2" outlineLevel="1">
      <c r="A91" s="97"/>
      <c r="B91" s="38" t="str">
        <f t="array" ref="B91">IFERROR(INDEX(#REF!,MATCH(C91,#REF!,0)),"")</f>
        <v/>
      </c>
      <c r="C91" s="97"/>
      <c r="D91" s="97"/>
      <c r="E91" s="40">
        <f>SUMIFS(Pagamentos!$E:$E,Pagamentos!$F:$F,TRUE,Pagamentos!$C:$C,$C91,Pagamentos!$D:$D,E$2)</f>
        <v>0</v>
      </c>
      <c r="F91" s="40">
        <f>SUMIFS(Pagamentos!$E:$E,Pagamentos!$F:$F,TRUE,Pagamentos!$C:$C,$C91,Pagamentos!$D:$D,F$2)</f>
        <v>0</v>
      </c>
      <c r="G91" s="40">
        <f>SUMIFS(Pagamentos!$E:$E,Pagamentos!$F:$F,TRUE,Pagamentos!$C:$C,$C91,Pagamentos!$D:$D,G$2)</f>
        <v>0</v>
      </c>
      <c r="H91" s="40">
        <f>SUMIFS(Pagamentos!$E:$E,Pagamentos!$F:$F,TRUE,Pagamentos!$C:$C,$C91,Pagamentos!$D:$D,H$2)</f>
        <v>0</v>
      </c>
      <c r="I91" s="40">
        <f>SUMIFS(Pagamentos!$E:$E,Pagamentos!$F:$F,TRUE,Pagamentos!$C:$C,$C91,Pagamentos!$D:$D,I$2)</f>
        <v>0</v>
      </c>
      <c r="J91" s="40">
        <f>SUMIFS(Pagamentos!$E:$E,Pagamentos!$F:$F,TRUE,Pagamentos!$C:$C,$C91,Pagamentos!$D:$D,J$2)</f>
        <v>0</v>
      </c>
      <c r="K91" s="40">
        <f>SUMIFS(Pagamentos!$E:$E,Pagamentos!$F:$F,TRUE,Pagamentos!$C:$C,$C91,Pagamentos!$D:$D,K$2)</f>
        <v>0</v>
      </c>
      <c r="L91" s="40">
        <f>SUMIFS(Pagamentos!$E:$E,Pagamentos!$F:$F,TRUE,Pagamentos!$C:$C,$C91,Pagamentos!$D:$D,L$2)</f>
        <v>0</v>
      </c>
      <c r="M91" s="40">
        <f>SUMIFS(Pagamentos!$E:$E,Pagamentos!$F:$F,TRUE,Pagamentos!$C:$C,$C91,Pagamentos!$D:$D,M$2)</f>
        <v>0</v>
      </c>
      <c r="N91" s="40">
        <f>SUMIFS(Pagamentos!$E:$E,Pagamentos!$F:$F,TRUE,Pagamentos!$C:$C,$C91,Pagamentos!$D:$D,N$2)</f>
        <v>0</v>
      </c>
      <c r="O91" s="40">
        <f>SUMIFS(Pagamentos!$E:$E,Pagamentos!$F:$F,TRUE,Pagamentos!$C:$C,$C91,Pagamentos!$D:$D,O$2)</f>
        <v>0</v>
      </c>
      <c r="P91" s="40">
        <f>SUMIFS(Pagamentos!$E:$E,Pagamentos!$F:$F,TRUE,Pagamentos!$C:$C,$C91,Pagamentos!$D:$D,P$2)</f>
        <v>0</v>
      </c>
      <c r="Q91" s="41"/>
      <c r="R91" s="42" t="str">
        <f t="shared" si="2"/>
        <v/>
      </c>
      <c r="S91" s="43" t="str">
        <f ca="1">IFERROR(__xludf.DUMMYFUNCTION("SPARKLINE(SUM(E91:P91),{""charttype"",""bar"";""max"",$S$2})"),"")</f>
        <v/>
      </c>
      <c r="T91" s="44"/>
    </row>
    <row r="92" spans="1:20" ht="16.2" outlineLevel="1">
      <c r="A92" s="100"/>
      <c r="B92" s="29" t="str">
        <f t="array" ref="B92">IFERROR(INDEX(#REF!,MATCH(C92,#REF!,0)),"")</f>
        <v/>
      </c>
      <c r="C92" s="100"/>
      <c r="D92" s="100"/>
      <c r="E92" s="32">
        <f>SUMIFS(Pagamentos!$E:$E,Pagamentos!$F:$F,TRUE,Pagamentos!$C:$C,$C92,Pagamentos!$D:$D,E$2)</f>
        <v>0</v>
      </c>
      <c r="F92" s="32">
        <f>SUMIFS(Pagamentos!$E:$E,Pagamentos!$F:$F,TRUE,Pagamentos!$C:$C,$C92,Pagamentos!$D:$D,F$2)</f>
        <v>0</v>
      </c>
      <c r="G92" s="32">
        <f>SUMIFS(Pagamentos!$E:$E,Pagamentos!$F:$F,TRUE,Pagamentos!$C:$C,$C92,Pagamentos!$D:$D,G$2)</f>
        <v>0</v>
      </c>
      <c r="H92" s="32">
        <f>SUMIFS(Pagamentos!$E:$E,Pagamentos!$F:$F,TRUE,Pagamentos!$C:$C,$C92,Pagamentos!$D:$D,H$2)</f>
        <v>0</v>
      </c>
      <c r="I92" s="32">
        <f>SUMIFS(Pagamentos!$E:$E,Pagamentos!$F:$F,TRUE,Pagamentos!$C:$C,$C92,Pagamentos!$D:$D,I$2)</f>
        <v>0</v>
      </c>
      <c r="J92" s="32">
        <f>SUMIFS(Pagamentos!$E:$E,Pagamentos!$F:$F,TRUE,Pagamentos!$C:$C,$C92,Pagamentos!$D:$D,J$2)</f>
        <v>0</v>
      </c>
      <c r="K92" s="32">
        <f>SUMIFS(Pagamentos!$E:$E,Pagamentos!$F:$F,TRUE,Pagamentos!$C:$C,$C92,Pagamentos!$D:$D,K$2)</f>
        <v>0</v>
      </c>
      <c r="L92" s="32">
        <f>SUMIFS(Pagamentos!$E:$E,Pagamentos!$F:$F,TRUE,Pagamentos!$C:$C,$C92,Pagamentos!$D:$D,L$2)</f>
        <v>0</v>
      </c>
      <c r="M92" s="32">
        <f>SUMIFS(Pagamentos!$E:$E,Pagamentos!$F:$F,TRUE,Pagamentos!$C:$C,$C92,Pagamentos!$D:$D,M$2)</f>
        <v>0</v>
      </c>
      <c r="N92" s="32">
        <f>SUMIFS(Pagamentos!$E:$E,Pagamentos!$F:$F,TRUE,Pagamentos!$C:$C,$C92,Pagamentos!$D:$D,N$2)</f>
        <v>0</v>
      </c>
      <c r="O92" s="32">
        <f>SUMIFS(Pagamentos!$E:$E,Pagamentos!$F:$F,TRUE,Pagamentos!$C:$C,$C92,Pagamentos!$D:$D,O$2)</f>
        <v>0</v>
      </c>
      <c r="P92" s="32">
        <f>SUMIFS(Pagamentos!$E:$E,Pagamentos!$F:$F,TRUE,Pagamentos!$C:$C,$C92,Pagamentos!$D:$D,P$2)</f>
        <v>0</v>
      </c>
      <c r="Q92" s="33"/>
      <c r="R92" s="34" t="str">
        <f t="shared" si="2"/>
        <v/>
      </c>
      <c r="S92" s="46" t="str">
        <f ca="1">IFERROR(__xludf.DUMMYFUNCTION("SPARKLINE(SUM(E92:P92),{""charttype"",""bar"";""max"",$S$2})"),"")</f>
        <v/>
      </c>
      <c r="T92" s="36"/>
    </row>
    <row r="93" spans="1:20" ht="16.2" outlineLevel="1">
      <c r="A93" s="97"/>
      <c r="B93" s="38" t="str">
        <f t="array" ref="B93">IFERROR(INDEX(#REF!,MATCH(C93,#REF!,0)),"")</f>
        <v/>
      </c>
      <c r="C93" s="97"/>
      <c r="D93" s="97"/>
      <c r="E93" s="40">
        <f>SUMIFS(Pagamentos!$E:$E,Pagamentos!$F:$F,TRUE,Pagamentos!$C:$C,$C93,Pagamentos!$D:$D,E$2)</f>
        <v>0</v>
      </c>
      <c r="F93" s="40">
        <f>SUMIFS(Pagamentos!$E:$E,Pagamentos!$F:$F,TRUE,Pagamentos!$C:$C,$C93,Pagamentos!$D:$D,F$2)</f>
        <v>0</v>
      </c>
      <c r="G93" s="40">
        <f>SUMIFS(Pagamentos!$E:$E,Pagamentos!$F:$F,TRUE,Pagamentos!$C:$C,$C93,Pagamentos!$D:$D,G$2)</f>
        <v>0</v>
      </c>
      <c r="H93" s="40">
        <f>SUMIFS(Pagamentos!$E:$E,Pagamentos!$F:$F,TRUE,Pagamentos!$C:$C,$C93,Pagamentos!$D:$D,H$2)</f>
        <v>0</v>
      </c>
      <c r="I93" s="40">
        <f>SUMIFS(Pagamentos!$E:$E,Pagamentos!$F:$F,TRUE,Pagamentos!$C:$C,$C93,Pagamentos!$D:$D,I$2)</f>
        <v>0</v>
      </c>
      <c r="J93" s="40">
        <f>SUMIFS(Pagamentos!$E:$E,Pagamentos!$F:$F,TRUE,Pagamentos!$C:$C,$C93,Pagamentos!$D:$D,J$2)</f>
        <v>0</v>
      </c>
      <c r="K93" s="40">
        <f>SUMIFS(Pagamentos!$E:$E,Pagamentos!$F:$F,TRUE,Pagamentos!$C:$C,$C93,Pagamentos!$D:$D,K$2)</f>
        <v>0</v>
      </c>
      <c r="L93" s="40">
        <f>SUMIFS(Pagamentos!$E:$E,Pagamentos!$F:$F,TRUE,Pagamentos!$C:$C,$C93,Pagamentos!$D:$D,L$2)</f>
        <v>0</v>
      </c>
      <c r="M93" s="40">
        <f>SUMIFS(Pagamentos!$E:$E,Pagamentos!$F:$F,TRUE,Pagamentos!$C:$C,$C93,Pagamentos!$D:$D,M$2)</f>
        <v>0</v>
      </c>
      <c r="N93" s="40">
        <f>SUMIFS(Pagamentos!$E:$E,Pagamentos!$F:$F,TRUE,Pagamentos!$C:$C,$C93,Pagamentos!$D:$D,N$2)</f>
        <v>0</v>
      </c>
      <c r="O93" s="40">
        <f>SUMIFS(Pagamentos!$E:$E,Pagamentos!$F:$F,TRUE,Pagamentos!$C:$C,$C93,Pagamentos!$D:$D,O$2)</f>
        <v>0</v>
      </c>
      <c r="P93" s="40">
        <f>SUMIFS(Pagamentos!$E:$E,Pagamentos!$F:$F,TRUE,Pagamentos!$C:$C,$C93,Pagamentos!$D:$D,P$2)</f>
        <v>0</v>
      </c>
      <c r="Q93" s="41"/>
      <c r="R93" s="42" t="str">
        <f t="shared" si="2"/>
        <v/>
      </c>
      <c r="S93" s="43" t="str">
        <f ca="1">IFERROR(__xludf.DUMMYFUNCTION("SPARKLINE(SUM(E93:P93),{""charttype"",""bar"";""max"",$S$2})"),"")</f>
        <v/>
      </c>
      <c r="T93" s="44"/>
    </row>
    <row r="94" spans="1:20" ht="16.2" outlineLevel="1">
      <c r="A94" s="100"/>
      <c r="B94" s="29" t="str">
        <f t="array" ref="B94">IFERROR(INDEX(#REF!,MATCH(C94,#REF!,0)),"")</f>
        <v/>
      </c>
      <c r="C94" s="100"/>
      <c r="D94" s="100"/>
      <c r="E94" s="32">
        <f>SUMIFS(Pagamentos!$E:$E,Pagamentos!$F:$F,TRUE,Pagamentos!$C:$C,$C94,Pagamentos!$D:$D,E$2)</f>
        <v>0</v>
      </c>
      <c r="F94" s="32">
        <f>SUMIFS(Pagamentos!$E:$E,Pagamentos!$F:$F,TRUE,Pagamentos!$C:$C,$C94,Pagamentos!$D:$D,F$2)</f>
        <v>0</v>
      </c>
      <c r="G94" s="32">
        <f>SUMIFS(Pagamentos!$E:$E,Pagamentos!$F:$F,TRUE,Pagamentos!$C:$C,$C94,Pagamentos!$D:$D,G$2)</f>
        <v>0</v>
      </c>
      <c r="H94" s="32">
        <f>SUMIFS(Pagamentos!$E:$E,Pagamentos!$F:$F,TRUE,Pagamentos!$C:$C,$C94,Pagamentos!$D:$D,H$2)</f>
        <v>0</v>
      </c>
      <c r="I94" s="32">
        <f>SUMIFS(Pagamentos!$E:$E,Pagamentos!$F:$F,TRUE,Pagamentos!$C:$C,$C94,Pagamentos!$D:$D,I$2)</f>
        <v>0</v>
      </c>
      <c r="J94" s="32">
        <f>SUMIFS(Pagamentos!$E:$E,Pagamentos!$F:$F,TRUE,Pagamentos!$C:$C,$C94,Pagamentos!$D:$D,J$2)</f>
        <v>0</v>
      </c>
      <c r="K94" s="32">
        <f>SUMIFS(Pagamentos!$E:$E,Pagamentos!$F:$F,TRUE,Pagamentos!$C:$C,$C94,Pagamentos!$D:$D,K$2)</f>
        <v>0</v>
      </c>
      <c r="L94" s="32">
        <f>SUMIFS(Pagamentos!$E:$E,Pagamentos!$F:$F,TRUE,Pagamentos!$C:$C,$C94,Pagamentos!$D:$D,L$2)</f>
        <v>0</v>
      </c>
      <c r="M94" s="32">
        <f>SUMIFS(Pagamentos!$E:$E,Pagamentos!$F:$F,TRUE,Pagamentos!$C:$C,$C94,Pagamentos!$D:$D,M$2)</f>
        <v>0</v>
      </c>
      <c r="N94" s="32">
        <f>SUMIFS(Pagamentos!$E:$E,Pagamentos!$F:$F,TRUE,Pagamentos!$C:$C,$C94,Pagamentos!$D:$D,N$2)</f>
        <v>0</v>
      </c>
      <c r="O94" s="32">
        <f>SUMIFS(Pagamentos!$E:$E,Pagamentos!$F:$F,TRUE,Pagamentos!$C:$C,$C94,Pagamentos!$D:$D,O$2)</f>
        <v>0</v>
      </c>
      <c r="P94" s="32">
        <f>SUMIFS(Pagamentos!$E:$E,Pagamentos!$F:$F,TRUE,Pagamentos!$C:$C,$C94,Pagamentos!$D:$D,P$2)</f>
        <v>0</v>
      </c>
      <c r="Q94" s="33"/>
      <c r="R94" s="34" t="str">
        <f t="shared" si="2"/>
        <v/>
      </c>
      <c r="S94" s="46" t="str">
        <f ca="1">IFERROR(__xludf.DUMMYFUNCTION("SPARKLINE(SUM(E94:P94),{""charttype"",""bar"";""max"",$S$2})"),"")</f>
        <v/>
      </c>
      <c r="T94" s="36"/>
    </row>
    <row r="95" spans="1:20" ht="16.2" outlineLevel="1">
      <c r="A95" s="97"/>
      <c r="B95" s="38" t="str">
        <f t="array" ref="B95">IFERROR(INDEX(#REF!,MATCH(C95,#REF!,0)),"")</f>
        <v/>
      </c>
      <c r="C95" s="97"/>
      <c r="D95" s="97"/>
      <c r="E95" s="40">
        <f>SUMIFS(Pagamentos!$E:$E,Pagamentos!$F:$F,TRUE,Pagamentos!$C:$C,$C95,Pagamentos!$D:$D,E$2)</f>
        <v>0</v>
      </c>
      <c r="F95" s="40">
        <f>SUMIFS(Pagamentos!$E:$E,Pagamentos!$F:$F,TRUE,Pagamentos!$C:$C,$C95,Pagamentos!$D:$D,F$2)</f>
        <v>0</v>
      </c>
      <c r="G95" s="40">
        <f>SUMIFS(Pagamentos!$E:$E,Pagamentos!$F:$F,TRUE,Pagamentos!$C:$C,$C95,Pagamentos!$D:$D,G$2)</f>
        <v>0</v>
      </c>
      <c r="H95" s="40">
        <f>SUMIFS(Pagamentos!$E:$E,Pagamentos!$F:$F,TRUE,Pagamentos!$C:$C,$C95,Pagamentos!$D:$D,H$2)</f>
        <v>0</v>
      </c>
      <c r="I95" s="40">
        <f>SUMIFS(Pagamentos!$E:$E,Pagamentos!$F:$F,TRUE,Pagamentos!$C:$C,$C95,Pagamentos!$D:$D,I$2)</f>
        <v>0</v>
      </c>
      <c r="J95" s="40">
        <f>SUMIFS(Pagamentos!$E:$E,Pagamentos!$F:$F,TRUE,Pagamentos!$C:$C,$C95,Pagamentos!$D:$D,J$2)</f>
        <v>0</v>
      </c>
      <c r="K95" s="40">
        <f>SUMIFS(Pagamentos!$E:$E,Pagamentos!$F:$F,TRUE,Pagamentos!$C:$C,$C95,Pagamentos!$D:$D,K$2)</f>
        <v>0</v>
      </c>
      <c r="L95" s="40">
        <f>SUMIFS(Pagamentos!$E:$E,Pagamentos!$F:$F,TRUE,Pagamentos!$C:$C,$C95,Pagamentos!$D:$D,L$2)</f>
        <v>0</v>
      </c>
      <c r="M95" s="40">
        <f>SUMIFS(Pagamentos!$E:$E,Pagamentos!$F:$F,TRUE,Pagamentos!$C:$C,$C95,Pagamentos!$D:$D,M$2)</f>
        <v>0</v>
      </c>
      <c r="N95" s="40">
        <f>SUMIFS(Pagamentos!$E:$E,Pagamentos!$F:$F,TRUE,Pagamentos!$C:$C,$C95,Pagamentos!$D:$D,N$2)</f>
        <v>0</v>
      </c>
      <c r="O95" s="40">
        <f>SUMIFS(Pagamentos!$E:$E,Pagamentos!$F:$F,TRUE,Pagamentos!$C:$C,$C95,Pagamentos!$D:$D,O$2)</f>
        <v>0</v>
      </c>
      <c r="P95" s="40">
        <f>SUMIFS(Pagamentos!$E:$E,Pagamentos!$F:$F,TRUE,Pagamentos!$C:$C,$C95,Pagamentos!$D:$D,P$2)</f>
        <v>0</v>
      </c>
      <c r="Q95" s="41"/>
      <c r="R95" s="42" t="str">
        <f t="shared" si="2"/>
        <v/>
      </c>
      <c r="S95" s="43" t="str">
        <f ca="1">IFERROR(__xludf.DUMMYFUNCTION("SPARKLINE(SUM(E95:P95),{""charttype"",""bar"";""max"",$S$2})"),"")</f>
        <v/>
      </c>
      <c r="T95" s="44"/>
    </row>
    <row r="96" spans="1:20" ht="16.2" outlineLevel="1">
      <c r="A96" s="100"/>
      <c r="B96" s="29" t="str">
        <f t="array" ref="B96">IFERROR(INDEX(#REF!,MATCH(C96,#REF!,0)),"")</f>
        <v/>
      </c>
      <c r="C96" s="100"/>
      <c r="D96" s="100"/>
      <c r="E96" s="32">
        <f>SUMIFS(Pagamentos!$E:$E,Pagamentos!$F:$F,TRUE,Pagamentos!$C:$C,$C96,Pagamentos!$D:$D,E$2)</f>
        <v>0</v>
      </c>
      <c r="F96" s="32">
        <f>SUMIFS(Pagamentos!$E:$E,Pagamentos!$F:$F,TRUE,Pagamentos!$C:$C,$C96,Pagamentos!$D:$D,F$2)</f>
        <v>0</v>
      </c>
      <c r="G96" s="32">
        <f>SUMIFS(Pagamentos!$E:$E,Pagamentos!$F:$F,TRUE,Pagamentos!$C:$C,$C96,Pagamentos!$D:$D,G$2)</f>
        <v>0</v>
      </c>
      <c r="H96" s="32">
        <f>SUMIFS(Pagamentos!$E:$E,Pagamentos!$F:$F,TRUE,Pagamentos!$C:$C,$C96,Pagamentos!$D:$D,H$2)</f>
        <v>0</v>
      </c>
      <c r="I96" s="32">
        <f>SUMIFS(Pagamentos!$E:$E,Pagamentos!$F:$F,TRUE,Pagamentos!$C:$C,$C96,Pagamentos!$D:$D,I$2)</f>
        <v>0</v>
      </c>
      <c r="J96" s="32">
        <f>SUMIFS(Pagamentos!$E:$E,Pagamentos!$F:$F,TRUE,Pagamentos!$C:$C,$C96,Pagamentos!$D:$D,J$2)</f>
        <v>0</v>
      </c>
      <c r="K96" s="32">
        <f>SUMIFS(Pagamentos!$E:$E,Pagamentos!$F:$F,TRUE,Pagamentos!$C:$C,$C96,Pagamentos!$D:$D,K$2)</f>
        <v>0</v>
      </c>
      <c r="L96" s="32">
        <f>SUMIFS(Pagamentos!$E:$E,Pagamentos!$F:$F,TRUE,Pagamentos!$C:$C,$C96,Pagamentos!$D:$D,L$2)</f>
        <v>0</v>
      </c>
      <c r="M96" s="32">
        <f>SUMIFS(Pagamentos!$E:$E,Pagamentos!$F:$F,TRUE,Pagamentos!$C:$C,$C96,Pagamentos!$D:$D,M$2)</f>
        <v>0</v>
      </c>
      <c r="N96" s="32">
        <f>SUMIFS(Pagamentos!$E:$E,Pagamentos!$F:$F,TRUE,Pagamentos!$C:$C,$C96,Pagamentos!$D:$D,N$2)</f>
        <v>0</v>
      </c>
      <c r="O96" s="32">
        <f>SUMIFS(Pagamentos!$E:$E,Pagamentos!$F:$F,TRUE,Pagamentos!$C:$C,$C96,Pagamentos!$D:$D,O$2)</f>
        <v>0</v>
      </c>
      <c r="P96" s="32">
        <f>SUMIFS(Pagamentos!$E:$E,Pagamentos!$F:$F,TRUE,Pagamentos!$C:$C,$C96,Pagamentos!$D:$D,P$2)</f>
        <v>0</v>
      </c>
      <c r="Q96" s="33"/>
      <c r="R96" s="34" t="str">
        <f t="shared" si="2"/>
        <v/>
      </c>
      <c r="S96" s="46" t="str">
        <f ca="1">IFERROR(__xludf.DUMMYFUNCTION("SPARKLINE(SUM(E96:P96),{""charttype"",""bar"";""max"",$S$2})"),"")</f>
        <v/>
      </c>
      <c r="T96" s="36"/>
    </row>
    <row r="97" spans="1:20" ht="16.2" outlineLevel="1">
      <c r="A97" s="97"/>
      <c r="B97" s="38" t="str">
        <f t="array" ref="B97">IFERROR(INDEX(#REF!,MATCH(C97,#REF!,0)),"")</f>
        <v/>
      </c>
      <c r="C97" s="97"/>
      <c r="D97" s="97"/>
      <c r="E97" s="40">
        <f>SUMIFS(Pagamentos!$E:$E,Pagamentos!$F:$F,TRUE,Pagamentos!$C:$C,$C97,Pagamentos!$D:$D,E$2)</f>
        <v>0</v>
      </c>
      <c r="F97" s="40">
        <f>SUMIFS(Pagamentos!$E:$E,Pagamentos!$F:$F,TRUE,Pagamentos!$C:$C,$C97,Pagamentos!$D:$D,F$2)</f>
        <v>0</v>
      </c>
      <c r="G97" s="40">
        <f>SUMIFS(Pagamentos!$E:$E,Pagamentos!$F:$F,TRUE,Pagamentos!$C:$C,$C97,Pagamentos!$D:$D,G$2)</f>
        <v>0</v>
      </c>
      <c r="H97" s="40">
        <f>SUMIFS(Pagamentos!$E:$E,Pagamentos!$F:$F,TRUE,Pagamentos!$C:$C,$C97,Pagamentos!$D:$D,H$2)</f>
        <v>0</v>
      </c>
      <c r="I97" s="40">
        <f>SUMIFS(Pagamentos!$E:$E,Pagamentos!$F:$F,TRUE,Pagamentos!$C:$C,$C97,Pagamentos!$D:$D,I$2)</f>
        <v>0</v>
      </c>
      <c r="J97" s="40">
        <f>SUMIFS(Pagamentos!$E:$E,Pagamentos!$F:$F,TRUE,Pagamentos!$C:$C,$C97,Pagamentos!$D:$D,J$2)</f>
        <v>0</v>
      </c>
      <c r="K97" s="40">
        <f>SUMIFS(Pagamentos!$E:$E,Pagamentos!$F:$F,TRUE,Pagamentos!$C:$C,$C97,Pagamentos!$D:$D,K$2)</f>
        <v>0</v>
      </c>
      <c r="L97" s="40">
        <f>SUMIFS(Pagamentos!$E:$E,Pagamentos!$F:$F,TRUE,Pagamentos!$C:$C,$C97,Pagamentos!$D:$D,L$2)</f>
        <v>0</v>
      </c>
      <c r="M97" s="40">
        <f>SUMIFS(Pagamentos!$E:$E,Pagamentos!$F:$F,TRUE,Pagamentos!$C:$C,$C97,Pagamentos!$D:$D,M$2)</f>
        <v>0</v>
      </c>
      <c r="N97" s="40">
        <f>SUMIFS(Pagamentos!$E:$E,Pagamentos!$F:$F,TRUE,Pagamentos!$C:$C,$C97,Pagamentos!$D:$D,N$2)</f>
        <v>0</v>
      </c>
      <c r="O97" s="40">
        <f>SUMIFS(Pagamentos!$E:$E,Pagamentos!$F:$F,TRUE,Pagamentos!$C:$C,$C97,Pagamentos!$D:$D,O$2)</f>
        <v>0</v>
      </c>
      <c r="P97" s="40">
        <f>SUMIFS(Pagamentos!$E:$E,Pagamentos!$F:$F,TRUE,Pagamentos!$C:$C,$C97,Pagamentos!$D:$D,P$2)</f>
        <v>0</v>
      </c>
      <c r="Q97" s="41"/>
      <c r="R97" s="42" t="str">
        <f t="shared" si="2"/>
        <v/>
      </c>
      <c r="S97" s="43" t="str">
        <f ca="1">IFERROR(__xludf.DUMMYFUNCTION("SPARKLINE(SUM(E97:P97),{""charttype"",""bar"";""max"",$S$2})"),"")</f>
        <v/>
      </c>
      <c r="T97" s="44"/>
    </row>
    <row r="98" spans="1:20" ht="16.2" outlineLevel="1">
      <c r="A98" s="100"/>
      <c r="B98" s="29" t="str">
        <f t="array" ref="B98">IFERROR(INDEX(#REF!,MATCH(C98,#REF!,0)),"")</f>
        <v/>
      </c>
      <c r="C98" s="100"/>
      <c r="D98" s="100"/>
      <c r="E98" s="32">
        <f>SUMIFS(Pagamentos!$E:$E,Pagamentos!$F:$F,TRUE,Pagamentos!$C:$C,$C98,Pagamentos!$D:$D,E$2)</f>
        <v>0</v>
      </c>
      <c r="F98" s="32">
        <f>SUMIFS(Pagamentos!$E:$E,Pagamentos!$F:$F,TRUE,Pagamentos!$C:$C,$C98,Pagamentos!$D:$D,F$2)</f>
        <v>0</v>
      </c>
      <c r="G98" s="32">
        <f>SUMIFS(Pagamentos!$E:$E,Pagamentos!$F:$F,TRUE,Pagamentos!$C:$C,$C98,Pagamentos!$D:$D,G$2)</f>
        <v>0</v>
      </c>
      <c r="H98" s="32">
        <f>SUMIFS(Pagamentos!$E:$E,Pagamentos!$F:$F,TRUE,Pagamentos!$C:$C,$C98,Pagamentos!$D:$D,H$2)</f>
        <v>0</v>
      </c>
      <c r="I98" s="32">
        <f>SUMIFS(Pagamentos!$E:$E,Pagamentos!$F:$F,TRUE,Pagamentos!$C:$C,$C98,Pagamentos!$D:$D,I$2)</f>
        <v>0</v>
      </c>
      <c r="J98" s="32">
        <f>SUMIFS(Pagamentos!$E:$E,Pagamentos!$F:$F,TRUE,Pagamentos!$C:$C,$C98,Pagamentos!$D:$D,J$2)</f>
        <v>0</v>
      </c>
      <c r="K98" s="32">
        <f>SUMIFS(Pagamentos!$E:$E,Pagamentos!$F:$F,TRUE,Pagamentos!$C:$C,$C98,Pagamentos!$D:$D,K$2)</f>
        <v>0</v>
      </c>
      <c r="L98" s="32">
        <f>SUMIFS(Pagamentos!$E:$E,Pagamentos!$F:$F,TRUE,Pagamentos!$C:$C,$C98,Pagamentos!$D:$D,L$2)</f>
        <v>0</v>
      </c>
      <c r="M98" s="32">
        <f>SUMIFS(Pagamentos!$E:$E,Pagamentos!$F:$F,TRUE,Pagamentos!$C:$C,$C98,Pagamentos!$D:$D,M$2)</f>
        <v>0</v>
      </c>
      <c r="N98" s="32">
        <f>SUMIFS(Pagamentos!$E:$E,Pagamentos!$F:$F,TRUE,Pagamentos!$C:$C,$C98,Pagamentos!$D:$D,N$2)</f>
        <v>0</v>
      </c>
      <c r="O98" s="32">
        <f>SUMIFS(Pagamentos!$E:$E,Pagamentos!$F:$F,TRUE,Pagamentos!$C:$C,$C98,Pagamentos!$D:$D,O$2)</f>
        <v>0</v>
      </c>
      <c r="P98" s="32">
        <f>SUMIFS(Pagamentos!$E:$E,Pagamentos!$F:$F,TRUE,Pagamentos!$C:$C,$C98,Pagamentos!$D:$D,P$2)</f>
        <v>0</v>
      </c>
      <c r="Q98" s="33"/>
      <c r="R98" s="34" t="str">
        <f t="shared" si="2"/>
        <v/>
      </c>
      <c r="S98" s="46" t="str">
        <f ca="1">IFERROR(__xludf.DUMMYFUNCTION("SPARKLINE(SUM(E98:P98),{""charttype"",""bar"";""max"",$S$2})"),"")</f>
        <v/>
      </c>
      <c r="T98" s="36"/>
    </row>
    <row r="99" spans="1:20" ht="16.2" outlineLevel="1">
      <c r="A99" s="97"/>
      <c r="B99" s="38" t="str">
        <f t="array" ref="B99">IFERROR(INDEX(#REF!,MATCH(C99,#REF!,0)),"")</f>
        <v/>
      </c>
      <c r="C99" s="97"/>
      <c r="D99" s="97"/>
      <c r="E99" s="40">
        <f>SUMIFS(Pagamentos!$E:$E,Pagamentos!$F:$F,TRUE,Pagamentos!$C:$C,$C99,Pagamentos!$D:$D,E$2)</f>
        <v>0</v>
      </c>
      <c r="F99" s="40">
        <f>SUMIFS(Pagamentos!$E:$E,Pagamentos!$F:$F,TRUE,Pagamentos!$C:$C,$C99,Pagamentos!$D:$D,F$2)</f>
        <v>0</v>
      </c>
      <c r="G99" s="40">
        <f>SUMIFS(Pagamentos!$E:$E,Pagamentos!$F:$F,TRUE,Pagamentos!$C:$C,$C99,Pagamentos!$D:$D,G$2)</f>
        <v>0</v>
      </c>
      <c r="H99" s="40">
        <f>SUMIFS(Pagamentos!$E:$E,Pagamentos!$F:$F,TRUE,Pagamentos!$C:$C,$C99,Pagamentos!$D:$D,H$2)</f>
        <v>0</v>
      </c>
      <c r="I99" s="40">
        <f>SUMIFS(Pagamentos!$E:$E,Pagamentos!$F:$F,TRUE,Pagamentos!$C:$C,$C99,Pagamentos!$D:$D,I$2)</f>
        <v>0</v>
      </c>
      <c r="J99" s="40">
        <f>SUMIFS(Pagamentos!$E:$E,Pagamentos!$F:$F,TRUE,Pagamentos!$C:$C,$C99,Pagamentos!$D:$D,J$2)</f>
        <v>0</v>
      </c>
      <c r="K99" s="40">
        <f>SUMIFS(Pagamentos!$E:$E,Pagamentos!$F:$F,TRUE,Pagamentos!$C:$C,$C99,Pagamentos!$D:$D,K$2)</f>
        <v>0</v>
      </c>
      <c r="L99" s="40">
        <f>SUMIFS(Pagamentos!$E:$E,Pagamentos!$F:$F,TRUE,Pagamentos!$C:$C,$C99,Pagamentos!$D:$D,L$2)</f>
        <v>0</v>
      </c>
      <c r="M99" s="40">
        <f>SUMIFS(Pagamentos!$E:$E,Pagamentos!$F:$F,TRUE,Pagamentos!$C:$C,$C99,Pagamentos!$D:$D,M$2)</f>
        <v>0</v>
      </c>
      <c r="N99" s="40">
        <f>SUMIFS(Pagamentos!$E:$E,Pagamentos!$F:$F,TRUE,Pagamentos!$C:$C,$C99,Pagamentos!$D:$D,N$2)</f>
        <v>0</v>
      </c>
      <c r="O99" s="40">
        <f>SUMIFS(Pagamentos!$E:$E,Pagamentos!$F:$F,TRUE,Pagamentos!$C:$C,$C99,Pagamentos!$D:$D,O$2)</f>
        <v>0</v>
      </c>
      <c r="P99" s="40">
        <f>SUMIFS(Pagamentos!$E:$E,Pagamentos!$F:$F,TRUE,Pagamentos!$C:$C,$C99,Pagamentos!$D:$D,P$2)</f>
        <v>0</v>
      </c>
      <c r="Q99" s="41"/>
      <c r="R99" s="42" t="str">
        <f t="shared" si="2"/>
        <v/>
      </c>
      <c r="S99" s="43" t="str">
        <f ca="1">IFERROR(__xludf.DUMMYFUNCTION("SPARKLINE(SUM(E99:P99),{""charttype"",""bar"";""max"",$S$2})"),"")</f>
        <v/>
      </c>
      <c r="T99" s="44"/>
    </row>
    <row r="100" spans="1:20" ht="16.2" outlineLevel="1">
      <c r="A100" s="100"/>
      <c r="B100" s="29" t="str">
        <f t="array" ref="B100">IFERROR(INDEX(#REF!,MATCH(C100,#REF!,0)),"")</f>
        <v/>
      </c>
      <c r="C100" s="100"/>
      <c r="D100" s="100"/>
      <c r="E100" s="32">
        <f>SUMIFS(Pagamentos!$E:$E,Pagamentos!$F:$F,TRUE,Pagamentos!$C:$C,$C100,Pagamentos!$D:$D,E$2)</f>
        <v>0</v>
      </c>
      <c r="F100" s="32">
        <f>SUMIFS(Pagamentos!$E:$E,Pagamentos!$F:$F,TRUE,Pagamentos!$C:$C,$C100,Pagamentos!$D:$D,F$2)</f>
        <v>0</v>
      </c>
      <c r="G100" s="32">
        <f>SUMIFS(Pagamentos!$E:$E,Pagamentos!$F:$F,TRUE,Pagamentos!$C:$C,$C100,Pagamentos!$D:$D,G$2)</f>
        <v>0</v>
      </c>
      <c r="H100" s="32">
        <f>SUMIFS(Pagamentos!$E:$E,Pagamentos!$F:$F,TRUE,Pagamentos!$C:$C,$C100,Pagamentos!$D:$D,H$2)</f>
        <v>0</v>
      </c>
      <c r="I100" s="32">
        <f>SUMIFS(Pagamentos!$E:$E,Pagamentos!$F:$F,TRUE,Pagamentos!$C:$C,$C100,Pagamentos!$D:$D,I$2)</f>
        <v>0</v>
      </c>
      <c r="J100" s="32">
        <f>SUMIFS(Pagamentos!$E:$E,Pagamentos!$F:$F,TRUE,Pagamentos!$C:$C,$C100,Pagamentos!$D:$D,J$2)</f>
        <v>0</v>
      </c>
      <c r="K100" s="32">
        <f>SUMIFS(Pagamentos!$E:$E,Pagamentos!$F:$F,TRUE,Pagamentos!$C:$C,$C100,Pagamentos!$D:$D,K$2)</f>
        <v>0</v>
      </c>
      <c r="L100" s="32">
        <f>SUMIFS(Pagamentos!$E:$E,Pagamentos!$F:$F,TRUE,Pagamentos!$C:$C,$C100,Pagamentos!$D:$D,L$2)</f>
        <v>0</v>
      </c>
      <c r="M100" s="32">
        <f>SUMIFS(Pagamentos!$E:$E,Pagamentos!$F:$F,TRUE,Pagamentos!$C:$C,$C100,Pagamentos!$D:$D,M$2)</f>
        <v>0</v>
      </c>
      <c r="N100" s="32">
        <f>SUMIFS(Pagamentos!$E:$E,Pagamentos!$F:$F,TRUE,Pagamentos!$C:$C,$C100,Pagamentos!$D:$D,N$2)</f>
        <v>0</v>
      </c>
      <c r="O100" s="32">
        <f>SUMIFS(Pagamentos!$E:$E,Pagamentos!$F:$F,TRUE,Pagamentos!$C:$C,$C100,Pagamentos!$D:$D,O$2)</f>
        <v>0</v>
      </c>
      <c r="P100" s="32">
        <f>SUMIFS(Pagamentos!$E:$E,Pagamentos!$F:$F,TRUE,Pagamentos!$C:$C,$C100,Pagamentos!$D:$D,P$2)</f>
        <v>0</v>
      </c>
      <c r="Q100" s="33"/>
      <c r="R100" s="34" t="str">
        <f t="shared" si="2"/>
        <v/>
      </c>
      <c r="S100" s="46" t="str">
        <f ca="1">IFERROR(__xludf.DUMMYFUNCTION("SPARKLINE(SUM(E100:P100),{""charttype"",""bar"";""max"",$S$2})"),"")</f>
        <v/>
      </c>
      <c r="T100" s="36"/>
    </row>
    <row r="101" spans="1:20" ht="13.2" outlineLevel="1">
      <c r="A101" s="104"/>
      <c r="B101" s="104"/>
      <c r="C101" s="104"/>
      <c r="D101" s="104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4"/>
    </row>
    <row r="102" spans="1:20" ht="28.8">
      <c r="A102" s="5"/>
      <c r="B102" s="6"/>
      <c r="C102" s="7" t="s">
        <v>135</v>
      </c>
      <c r="D102" s="8"/>
      <c r="E102" s="106" t="s">
        <v>0</v>
      </c>
      <c r="F102" s="106" t="s">
        <v>136</v>
      </c>
      <c r="G102" s="106" t="s">
        <v>137</v>
      </c>
      <c r="H102" s="106" t="s">
        <v>138</v>
      </c>
      <c r="I102" s="106" t="s">
        <v>139</v>
      </c>
      <c r="J102" s="106" t="s">
        <v>140</v>
      </c>
      <c r="K102" s="106" t="s">
        <v>141</v>
      </c>
      <c r="L102" s="106" t="s">
        <v>142</v>
      </c>
      <c r="M102" s="106" t="s">
        <v>143</v>
      </c>
      <c r="N102" s="106" t="s">
        <v>144</v>
      </c>
      <c r="O102" s="106" t="s">
        <v>145</v>
      </c>
      <c r="P102" s="106" t="s">
        <v>146</v>
      </c>
      <c r="Q102" s="107"/>
      <c r="R102" s="107"/>
      <c r="S102" s="107"/>
      <c r="T102" s="4"/>
    </row>
    <row r="103" spans="1:20" ht="16.8">
      <c r="A103" s="108"/>
      <c r="B103" s="109"/>
      <c r="C103" s="17" t="s">
        <v>28</v>
      </c>
      <c r="D103" s="17"/>
      <c r="E103" s="110">
        <f t="shared" ref="E103:P103" si="3">SUM(E104:E120)</f>
        <v>0.4</v>
      </c>
      <c r="F103" s="110">
        <f t="shared" si="3"/>
        <v>0.54</v>
      </c>
      <c r="G103" s="110">
        <f t="shared" si="3"/>
        <v>0.62</v>
      </c>
      <c r="H103" s="110">
        <f t="shared" si="3"/>
        <v>1.34</v>
      </c>
      <c r="I103" s="110">
        <f t="shared" si="3"/>
        <v>12.59</v>
      </c>
      <c r="J103" s="110">
        <f t="shared" si="3"/>
        <v>101.35</v>
      </c>
      <c r="K103" s="110">
        <f t="shared" si="3"/>
        <v>1.35</v>
      </c>
      <c r="L103" s="110">
        <f t="shared" si="3"/>
        <v>0</v>
      </c>
      <c r="M103" s="110">
        <f t="shared" si="3"/>
        <v>0</v>
      </c>
      <c r="N103" s="110">
        <f t="shared" si="3"/>
        <v>0</v>
      </c>
      <c r="O103" s="110">
        <f t="shared" si="3"/>
        <v>0</v>
      </c>
      <c r="P103" s="110">
        <f t="shared" si="3"/>
        <v>0</v>
      </c>
      <c r="Q103" s="110"/>
      <c r="R103" s="110"/>
      <c r="S103" s="110"/>
      <c r="T103" s="4"/>
    </row>
    <row r="104" spans="1:20" ht="16.2" outlineLevel="1">
      <c r="A104" s="24"/>
      <c r="B104" s="29"/>
      <c r="C104" s="111" t="s">
        <v>38</v>
      </c>
      <c r="D104" s="111"/>
      <c r="E104" s="112">
        <f>SUMIFS(Lançamentos!$E:$E,Lançamentos!$H:$H,E$102,Lançamentos!$D:$D,$C104)</f>
        <v>0.4</v>
      </c>
      <c r="F104" s="112">
        <f>SUMIFS(Lançamentos!$E:$E,Lançamentos!$H:$H,F$102,Lançamentos!$D:$D,$C104)</f>
        <v>0.54</v>
      </c>
      <c r="G104" s="112">
        <f>SUMIFS(Lançamentos!$E:$E,Lançamentos!$H:$H,G$102,Lançamentos!$D:$D,$C104)</f>
        <v>0.62</v>
      </c>
      <c r="H104" s="112">
        <f>SUMIFS(Lançamentos!$E:$E,Lançamentos!$H:$H,H$102,Lançamentos!$D:$D,$C104)</f>
        <v>1.34</v>
      </c>
      <c r="I104" s="112">
        <f>SUMIFS(Lançamentos!$E:$E,Lançamentos!$H:$H,I$102,Lançamentos!$D:$D,$C104)</f>
        <v>12.59</v>
      </c>
      <c r="J104" s="112">
        <f>SUMIFS(Lançamentos!$E:$E,Lançamentos!$H:$H,J$102,Lançamentos!$D:$D,$C104)</f>
        <v>101.35</v>
      </c>
      <c r="K104" s="112">
        <f>SUMIFS(Lançamentos!$E:$E,Lançamentos!$H:$H,K$102,Lançamentos!$D:$D,$C104)</f>
        <v>1.35</v>
      </c>
      <c r="L104" s="112">
        <f>SUMIFS(Lançamentos!$E:$E,Lançamentos!$H:$H,L$102,Lançamentos!$D:$D,$C104)</f>
        <v>0</v>
      </c>
      <c r="M104" s="112">
        <f>SUMIFS(Lançamentos!$E:$E,Lançamentos!$H:$H,M$102,Lançamentos!$D:$D,$C104)</f>
        <v>0</v>
      </c>
      <c r="N104" s="112">
        <f>SUMIFS(Lançamentos!$E:$E,Lançamentos!$H:$H,N$102,Lançamentos!$D:$D,$C104)</f>
        <v>0</v>
      </c>
      <c r="O104" s="112">
        <f>SUMIFS(Lançamentos!$E:$E,Lançamentos!$H:$H,O$102,Lançamentos!$D:$D,$C104)</f>
        <v>0</v>
      </c>
      <c r="P104" s="112">
        <f>SUMIFS(Lançamentos!$E:$E,Lançamentos!$H:$H,P$102,Lançamentos!$D:$D,$C104)</f>
        <v>0</v>
      </c>
      <c r="Q104" s="46"/>
      <c r="R104" s="46"/>
      <c r="S104" s="46"/>
      <c r="T104" s="113"/>
    </row>
    <row r="105" spans="1:20" ht="16.2" outlineLevel="1">
      <c r="A105" s="37"/>
      <c r="B105" s="38"/>
      <c r="C105" s="138" t="s">
        <v>47</v>
      </c>
      <c r="D105" s="134"/>
      <c r="E105" s="115">
        <f>SUMIFS(Lançamentos!E:E,Lançamentos!H:H,$E$102,Lançamentos!D:D,C$105)</f>
        <v>0</v>
      </c>
      <c r="F105" s="115">
        <f>SUMIFS(Lançamentos!$E:$E,Lançamentos!$H:$H,F$102,Lançamentos!$D:$D,$C105)</f>
        <v>0</v>
      </c>
      <c r="G105" s="115">
        <f>SUMIFS(Lançamentos!$E:$E,Lançamentos!$H:$H,G$102,Lançamentos!$D:$D,$C105)</f>
        <v>0</v>
      </c>
      <c r="H105" s="115">
        <f>SUMIFS(Lançamentos!$E:$E,Lançamentos!$H:$H,H$102,Lançamentos!$D:$D,$C105)</f>
        <v>0</v>
      </c>
      <c r="I105" s="115">
        <f>SUMIFS(Lançamentos!$E:$E,Lançamentos!$H:$H,I$102,Lançamentos!$D:$D,$C105)</f>
        <v>0</v>
      </c>
      <c r="J105" s="115">
        <f>SUMIFS(Lançamentos!$E:$E,Lançamentos!$H:$H,J$102,Lançamentos!$D:$D,$C105)</f>
        <v>0</v>
      </c>
      <c r="K105" s="115">
        <f>SUMIFS(Lançamentos!$E:$E,Lançamentos!$H:$H,K$102,Lançamentos!$D:$D,$C105)</f>
        <v>0</v>
      </c>
      <c r="L105" s="115">
        <f>SUMIFS(Lançamentos!$E:$E,Lançamentos!$H:$H,L$102,Lançamentos!$D:$D,$C105)</f>
        <v>0</v>
      </c>
      <c r="M105" s="115">
        <f>SUMIFS(Lançamentos!$E:$E,Lançamentos!$H:$H,M$102,Lançamentos!$D:$D,$C105)</f>
        <v>0</v>
      </c>
      <c r="N105" s="115">
        <f>SUMIFS(Lançamentos!$E:$E,Lançamentos!$H:$H,N$102,Lançamentos!$D:$D,$C105)</f>
        <v>0</v>
      </c>
      <c r="O105" s="115">
        <f>SUMIFS(Lançamentos!$E:$E,Lançamentos!$H:$H,O$102,Lançamentos!$D:$D,$C105)</f>
        <v>0</v>
      </c>
      <c r="P105" s="115">
        <f>SUMIFS(Lançamentos!$E:$E,Lançamentos!$H:$H,P$102,Lançamentos!$D:$D,$C105)</f>
        <v>0</v>
      </c>
      <c r="Q105" s="43"/>
      <c r="R105" s="43"/>
      <c r="S105" s="43"/>
      <c r="T105" s="113"/>
    </row>
    <row r="106" spans="1:20" ht="16.2" outlineLevel="1">
      <c r="A106" s="36"/>
      <c r="B106" s="36"/>
      <c r="C106" s="139" t="s">
        <v>50</v>
      </c>
      <c r="D106" s="134"/>
      <c r="E106" s="112">
        <f>SUMIFS(Lançamentos!$E:$E,Lançamentos!$H:$H,E$102,Lançamentos!$D:$D,$C106)</f>
        <v>0</v>
      </c>
      <c r="F106" s="112">
        <f>SUMIFS(Lançamentos!$E:$E,Lançamentos!$H:$H,F$102,Lançamentos!$D:$D,$C106)</f>
        <v>0</v>
      </c>
      <c r="G106" s="112">
        <f>SUMIFS(Lançamentos!$E:$E,Lançamentos!$H:$H,G$102,Lançamentos!$D:$D,$C106)</f>
        <v>0</v>
      </c>
      <c r="H106" s="112">
        <f>SUMIFS(Lançamentos!$E:$E,Lançamentos!$H:$H,H$102,Lançamentos!$D:$D,$C106)</f>
        <v>0</v>
      </c>
      <c r="I106" s="112">
        <f>SUMIFS(Lançamentos!$E:$E,Lançamentos!$H:$H,I$102,Lançamentos!$D:$D,$C106)</f>
        <v>0</v>
      </c>
      <c r="J106" s="112">
        <f>SUMIFS(Lançamentos!$E:$E,Lançamentos!$H:$H,J$102,Lançamentos!$D:$D,$C106)</f>
        <v>0</v>
      </c>
      <c r="K106" s="112">
        <f>SUMIFS(Lançamentos!$E:$E,Lançamentos!$H:$H,K$102,Lançamentos!$D:$D,$C106)</f>
        <v>0</v>
      </c>
      <c r="L106" s="112">
        <f>SUMIFS(Lançamentos!$E:$E,Lançamentos!$H:$H,L$102,Lançamentos!$D:$D,$C106)</f>
        <v>0</v>
      </c>
      <c r="M106" s="112">
        <f>SUMIFS(Lançamentos!$E:$E,Lançamentos!$H:$H,M$102,Lançamentos!$D:$D,$C106)</f>
        <v>0</v>
      </c>
      <c r="N106" s="112">
        <f>SUMIFS(Lançamentos!$E:$E,Lançamentos!$H:$H,N$102,Lançamentos!$D:$D,$C106)</f>
        <v>0</v>
      </c>
      <c r="O106" s="112">
        <f>SUMIFS(Lançamentos!$E:$E,Lançamentos!$H:$H,O$102,Lançamentos!$D:$D,$C106)</f>
        <v>0</v>
      </c>
      <c r="P106" s="112">
        <f>SUMIFS(Lançamentos!$E:$E,Lançamentos!$H:$H,P$102,Lançamentos!$D:$D,$C106)</f>
        <v>0</v>
      </c>
      <c r="Q106" s="46"/>
      <c r="R106" s="46"/>
      <c r="S106" s="46"/>
      <c r="T106" s="113"/>
    </row>
    <row r="107" spans="1:20" ht="16.2" outlineLevel="1">
      <c r="A107" s="37"/>
      <c r="B107" s="38"/>
      <c r="C107" s="138" t="s">
        <v>147</v>
      </c>
      <c r="D107" s="134"/>
      <c r="E107" s="115">
        <f>SUMIFS(Lançamentos!$E:$E,Lançamentos!$H:$H,E$102,Lançamentos!$D:$D,$C107)</f>
        <v>0</v>
      </c>
      <c r="F107" s="115">
        <f>SUMIFS(Lançamentos!$E:$E,Lançamentos!$H:$H,F$102,Lançamentos!$D:$D,$C107)</f>
        <v>0</v>
      </c>
      <c r="G107" s="115">
        <f>SUMIFS(Lançamentos!$E:$E,Lançamentos!$H:$H,G$102,Lançamentos!$D:$D,$C107)</f>
        <v>0</v>
      </c>
      <c r="H107" s="115">
        <f>SUMIFS(Lançamentos!$E:$E,Lançamentos!$H:$H,H$102,Lançamentos!$D:$D,$C107)</f>
        <v>0</v>
      </c>
      <c r="I107" s="115">
        <f>SUMIFS(Lançamentos!$E:$E,Lançamentos!$H:$H,I$102,Lançamentos!$D:$D,$C107)</f>
        <v>0</v>
      </c>
      <c r="J107" s="115">
        <f>SUMIFS(Lançamentos!$E:$E,Lançamentos!$H:$H,J$102,Lançamentos!$D:$D,$C107)</f>
        <v>0</v>
      </c>
      <c r="K107" s="115">
        <f>SUMIFS(Lançamentos!$E:$E,Lançamentos!$H:$H,K$102,Lançamentos!$D:$D,$C107)</f>
        <v>0</v>
      </c>
      <c r="L107" s="115">
        <f>SUMIFS(Lançamentos!$E:$E,Lançamentos!$H:$H,L$102,Lançamentos!$D:$D,$C107)</f>
        <v>0</v>
      </c>
      <c r="M107" s="115">
        <f>SUMIFS(Lançamentos!$E:$E,Lançamentos!$H:$H,M$102,Lançamentos!$D:$D,$C107)</f>
        <v>0</v>
      </c>
      <c r="N107" s="115">
        <f>SUMIFS(Lançamentos!$E:$E,Lançamentos!$H:$H,N$102,Lançamentos!$D:$D,$C107)</f>
        <v>0</v>
      </c>
      <c r="O107" s="115">
        <f>SUMIFS(Lançamentos!$E:$E,Lançamentos!$H:$H,O$102,Lançamentos!$D:$D,$C107)</f>
        <v>0</v>
      </c>
      <c r="P107" s="115">
        <f>SUMIFS(Lançamentos!$E:$E,Lançamentos!$H:$H,P$102,Lançamentos!$D:$D,$C107)</f>
        <v>0</v>
      </c>
      <c r="Q107" s="43"/>
      <c r="R107" s="43"/>
      <c r="S107" s="43"/>
      <c r="T107" s="113"/>
    </row>
    <row r="108" spans="1:20" ht="16.2" outlineLevel="1">
      <c r="A108" s="24"/>
      <c r="B108" s="29"/>
      <c r="C108" s="139" t="s">
        <v>44</v>
      </c>
      <c r="D108" s="134"/>
      <c r="E108" s="112">
        <f>SUMIFS(Lançamentos!$E:$E,Lançamentos!$H:$H,E$102,Lançamentos!$D:$D,$C108)</f>
        <v>0</v>
      </c>
      <c r="F108" s="112">
        <f>SUMIFS(Lançamentos!$E:$E,Lançamentos!$H:$H,F$102,Lançamentos!$D:$D,$C108)</f>
        <v>0</v>
      </c>
      <c r="G108" s="112">
        <f>SUMIFS(Lançamentos!$E:$E,Lançamentos!$H:$H,G$102,Lançamentos!$D:$D,$C108)</f>
        <v>0</v>
      </c>
      <c r="H108" s="112">
        <f>SUMIFS(Lançamentos!$E:$E,Lançamentos!$H:$H,H$102,Lançamentos!$D:$D,$C108)</f>
        <v>0</v>
      </c>
      <c r="I108" s="112">
        <f>SUMIFS(Lançamentos!$E:$E,Lançamentos!$H:$H,I$102,Lançamentos!$D:$D,$C108)</f>
        <v>0</v>
      </c>
      <c r="J108" s="112">
        <f>SUMIFS(Lançamentos!$E:$E,Lançamentos!$H:$H,J$102,Lançamentos!$D:$D,$C108)</f>
        <v>0</v>
      </c>
      <c r="K108" s="112">
        <f>SUMIFS(Lançamentos!$E:$E,Lançamentos!$H:$H,K$102,Lançamentos!$D:$D,$C108)</f>
        <v>0</v>
      </c>
      <c r="L108" s="112">
        <f>SUMIFS(Lançamentos!$E:$E,Lançamentos!$H:$H,L$102,Lançamentos!$D:$D,$C108)</f>
        <v>0</v>
      </c>
      <c r="M108" s="112">
        <f>SUMIFS(Lançamentos!$E:$E,Lançamentos!$H:$H,M$102,Lançamentos!$D:$D,$C108)</f>
        <v>0</v>
      </c>
      <c r="N108" s="112">
        <f>SUMIFS(Lançamentos!$E:$E,Lançamentos!$H:$H,N$102,Lançamentos!$D:$D,$C108)</f>
        <v>0</v>
      </c>
      <c r="O108" s="112">
        <f>SUMIFS(Lançamentos!$E:$E,Lançamentos!$H:$H,O$102,Lançamentos!$D:$D,$C108)</f>
        <v>0</v>
      </c>
      <c r="P108" s="112">
        <f>SUMIFS(Lançamentos!$E:$E,Lançamentos!$H:$H,P$102,Lançamentos!$D:$D,$C108)</f>
        <v>0</v>
      </c>
      <c r="Q108" s="46"/>
      <c r="R108" s="46"/>
      <c r="S108" s="46"/>
      <c r="T108" s="113"/>
    </row>
    <row r="109" spans="1:20" ht="16.2" outlineLevel="1">
      <c r="A109" s="37"/>
      <c r="B109" s="38"/>
      <c r="C109" s="138" t="s">
        <v>34</v>
      </c>
      <c r="D109" s="134"/>
      <c r="E109" s="115">
        <f>SUMIFS(Lançamentos!$E:$E,Lançamentos!$H:$H,E$102,Lançamentos!$D:$D,$C109)</f>
        <v>0</v>
      </c>
      <c r="F109" s="115">
        <f>SUMIFS(Lançamentos!$E:$E,Lançamentos!$H:$H,F$102,Lançamentos!$D:$D,$C109)</f>
        <v>0</v>
      </c>
      <c r="G109" s="115">
        <f>SUMIFS(Lançamentos!$E:$E,Lançamentos!$H:$H,G$102,Lançamentos!$D:$D,$C109)</f>
        <v>0</v>
      </c>
      <c r="H109" s="115">
        <f>SUMIFS(Lançamentos!$E:$E,Lançamentos!$H:$H,H$102,Lançamentos!$D:$D,$C109)</f>
        <v>0</v>
      </c>
      <c r="I109" s="115">
        <f>SUMIFS(Lançamentos!$E:$E,Lançamentos!$H:$H,I$102,Lançamentos!$D:$D,$C109)</f>
        <v>0</v>
      </c>
      <c r="J109" s="115">
        <f>SUMIFS(Lançamentos!$E:$E,Lançamentos!$H:$H,J$102,Lançamentos!$D:$D,$C109)</f>
        <v>0</v>
      </c>
      <c r="K109" s="115">
        <f>SUMIFS(Lançamentos!$E:$E,Lançamentos!$H:$H,K$102,Lançamentos!$D:$D,$C109)</f>
        <v>0</v>
      </c>
      <c r="L109" s="115">
        <f>SUMIFS(Lançamentos!$E:$E,Lançamentos!$H:$H,L$102,Lançamentos!$D:$D,$C109)</f>
        <v>0</v>
      </c>
      <c r="M109" s="115">
        <f>SUMIFS(Lançamentos!$E:$E,Lançamentos!$H:$H,M$102,Lançamentos!$D:$D,$C109)</f>
        <v>0</v>
      </c>
      <c r="N109" s="115">
        <f>SUMIFS(Lançamentos!$E:$E,Lançamentos!$H:$H,N$102,Lançamentos!$D:$D,$C109)</f>
        <v>0</v>
      </c>
      <c r="O109" s="115">
        <f>SUMIFS(Lançamentos!$E:$E,Lançamentos!$H:$H,O$102,Lançamentos!$D:$D,$C109)</f>
        <v>0</v>
      </c>
      <c r="P109" s="115">
        <f>SUMIFS(Lançamentos!$E:$E,Lançamentos!$H:$H,P$102,Lançamentos!$D:$D,$C109)</f>
        <v>0</v>
      </c>
      <c r="Q109" s="43"/>
      <c r="R109" s="43"/>
      <c r="S109" s="43"/>
      <c r="T109" s="113"/>
    </row>
    <row r="110" spans="1:20" ht="14.4" outlineLevel="1">
      <c r="A110" s="36"/>
      <c r="B110" s="36"/>
      <c r="E110" s="112">
        <f>SUMIFS(Lançamentos!$E:$E,Lançamentos!$H:$H,E$102,Lançamentos!$D:$D,$C110)</f>
        <v>0</v>
      </c>
      <c r="F110" s="112">
        <f>SUMIFS(Lançamentos!$E:$E,Lançamentos!$H:$H,F$102,Lançamentos!$D:$D,$C110)</f>
        <v>0</v>
      </c>
      <c r="G110" s="112">
        <f>SUMIFS(Lançamentos!$E:$E,Lançamentos!$H:$H,G$102,Lançamentos!$D:$D,$C110)</f>
        <v>0</v>
      </c>
      <c r="H110" s="112">
        <f>SUMIFS(Lançamentos!$E:$E,Lançamentos!$H:$H,H$102,Lançamentos!$D:$D,$C110)</f>
        <v>0</v>
      </c>
      <c r="I110" s="112">
        <f>SUMIFS(Lançamentos!$E:$E,Lançamentos!$H:$H,I$102,Lançamentos!$D:$D,$C110)</f>
        <v>0</v>
      </c>
      <c r="J110" s="112">
        <f>SUMIFS(Lançamentos!$E:$E,Lançamentos!$H:$H,J$102,Lançamentos!$D:$D,$C110)</f>
        <v>0</v>
      </c>
      <c r="K110" s="112">
        <f>SUMIFS(Lançamentos!$E:$E,Lançamentos!$H:$H,K$102,Lançamentos!$D:$D,$C110)</f>
        <v>0</v>
      </c>
      <c r="L110" s="112">
        <f>SUMIFS(Lançamentos!$E:$E,Lançamentos!$H:$H,L$102,Lançamentos!$D:$D,$C110)</f>
        <v>0</v>
      </c>
      <c r="M110" s="112">
        <f>SUMIFS(Lançamentos!$E:$E,Lançamentos!$H:$H,M$102,Lançamentos!$D:$D,$C110)</f>
        <v>0</v>
      </c>
      <c r="N110" s="112">
        <f>SUMIFS(Lançamentos!$E:$E,Lançamentos!$H:$H,N$102,Lançamentos!$D:$D,$C110)</f>
        <v>0</v>
      </c>
      <c r="O110" s="112">
        <f>SUMIFS(Lançamentos!$E:$E,Lançamentos!$H:$H,O$102,Lançamentos!$D:$D,$C110)</f>
        <v>0</v>
      </c>
      <c r="P110" s="112">
        <f>SUMIFS(Lançamentos!$E:$E,Lançamentos!$H:$H,P$102,Lançamentos!$D:$D,$C110)</f>
        <v>0</v>
      </c>
      <c r="Q110" s="46"/>
      <c r="R110" s="46"/>
      <c r="S110" s="46"/>
      <c r="T110" s="113"/>
    </row>
    <row r="111" spans="1:20" ht="14.4" outlineLevel="1">
      <c r="A111" s="44"/>
      <c r="B111" s="44"/>
      <c r="C111" s="140"/>
      <c r="D111" s="134"/>
      <c r="E111" s="115">
        <f>SUMIFS(Lançamentos!$E:$E,Lançamentos!$H:$H,E$102,Lançamentos!$D:$D,$C111)</f>
        <v>0</v>
      </c>
      <c r="F111" s="115">
        <f>SUMIFS(Lançamentos!$E:$E,Lançamentos!$H:$H,F$102,Lançamentos!$D:$D,$C111)</f>
        <v>0</v>
      </c>
      <c r="G111" s="115">
        <f>SUMIFS(Lançamentos!$E:$E,Lançamentos!$H:$H,G$102,Lançamentos!$D:$D,$C111)</f>
        <v>0</v>
      </c>
      <c r="H111" s="115">
        <f>SUMIFS(Lançamentos!$E:$E,Lançamentos!$H:$H,H$102,Lançamentos!$D:$D,$C111)</f>
        <v>0</v>
      </c>
      <c r="I111" s="115">
        <f>SUMIFS(Lançamentos!$E:$E,Lançamentos!$H:$H,I$102,Lançamentos!$D:$D,$C111)</f>
        <v>0</v>
      </c>
      <c r="J111" s="115">
        <f>SUMIFS(Lançamentos!$E:$E,Lançamentos!$H:$H,J$102,Lançamentos!$D:$D,$C111)</f>
        <v>0</v>
      </c>
      <c r="K111" s="115">
        <f>SUMIFS(Lançamentos!$E:$E,Lançamentos!$H:$H,K$102,Lançamentos!$D:$D,$C111)</f>
        <v>0</v>
      </c>
      <c r="L111" s="115">
        <f>SUMIFS(Lançamentos!$E:$E,Lançamentos!$H:$H,L$102,Lançamentos!$D:$D,$C111)</f>
        <v>0</v>
      </c>
      <c r="M111" s="115">
        <f>SUMIFS(Lançamentos!$E:$E,Lançamentos!$H:$H,M$102,Lançamentos!$D:$D,$C111)</f>
        <v>0</v>
      </c>
      <c r="N111" s="115">
        <f>SUMIFS(Lançamentos!$E:$E,Lançamentos!$H:$H,N$102,Lançamentos!$D:$D,$C111)</f>
        <v>0</v>
      </c>
      <c r="O111" s="115">
        <f>SUMIFS(Lançamentos!$E:$E,Lançamentos!$H:$H,O$102,Lançamentos!$D:$D,$C111)</f>
        <v>0</v>
      </c>
      <c r="P111" s="115">
        <f>SUMIFS(Lançamentos!$E:$E,Lançamentos!$H:$H,P$102,Lançamentos!$D:$D,$C111)</f>
        <v>0</v>
      </c>
      <c r="Q111" s="43"/>
      <c r="R111" s="43"/>
      <c r="S111" s="43"/>
      <c r="T111" s="113"/>
    </row>
    <row r="112" spans="1:20" ht="14.4" outlineLevel="1">
      <c r="A112" s="24"/>
      <c r="B112" s="29"/>
      <c r="C112" s="141"/>
      <c r="D112" s="134"/>
      <c r="E112" s="112">
        <f>SUMIFS(Lançamentos!$E:$E,Lançamentos!$H:$H,E$102,Lançamentos!$D:$D,$C112)</f>
        <v>0</v>
      </c>
      <c r="F112" s="112">
        <f>SUMIFS(Lançamentos!$E:$E,Lançamentos!$H:$H,F$102,Lançamentos!$D:$D,$C112)</f>
        <v>0</v>
      </c>
      <c r="G112" s="112">
        <f>SUMIFS(Lançamentos!$E:$E,Lançamentos!$H:$H,G$102,Lançamentos!$D:$D,$C112)</f>
        <v>0</v>
      </c>
      <c r="H112" s="112">
        <f>SUMIFS(Lançamentos!$E:$E,Lançamentos!$H:$H,H$102,Lançamentos!$D:$D,$C112)</f>
        <v>0</v>
      </c>
      <c r="I112" s="112">
        <f>SUMIFS(Lançamentos!$E:$E,Lançamentos!$H:$H,I$102,Lançamentos!$D:$D,$C112)</f>
        <v>0</v>
      </c>
      <c r="J112" s="112">
        <f>SUMIFS(Lançamentos!$E:$E,Lançamentos!$H:$H,J$102,Lançamentos!$D:$D,$C112)</f>
        <v>0</v>
      </c>
      <c r="K112" s="112">
        <f>SUMIFS(Lançamentos!$E:$E,Lançamentos!$H:$H,K$102,Lançamentos!$D:$D,$C112)</f>
        <v>0</v>
      </c>
      <c r="L112" s="112">
        <f>SUMIFS(Lançamentos!$E:$E,Lançamentos!$H:$H,L$102,Lançamentos!$D:$D,$C112)</f>
        <v>0</v>
      </c>
      <c r="M112" s="112">
        <f>SUMIFS(Lançamentos!$E:$E,Lançamentos!$H:$H,M$102,Lançamentos!$D:$D,$C112)</f>
        <v>0</v>
      </c>
      <c r="N112" s="112">
        <f>SUMIFS(Lançamentos!$E:$E,Lançamentos!$H:$H,N$102,Lançamentos!$D:$D,$C112)</f>
        <v>0</v>
      </c>
      <c r="O112" s="112">
        <f>SUMIFS(Lançamentos!$E:$E,Lançamentos!$H:$H,O$102,Lançamentos!$D:$D,$C112)</f>
        <v>0</v>
      </c>
      <c r="P112" s="112">
        <f>SUMIFS(Lançamentos!$E:$E,Lançamentos!$H:$H,P$102,Lançamentos!$D:$D,$C112)</f>
        <v>0</v>
      </c>
      <c r="Q112" s="46"/>
      <c r="R112" s="46"/>
      <c r="S112" s="46"/>
      <c r="T112" s="113"/>
    </row>
    <row r="113" spans="1:20" ht="16.2" outlineLevel="1">
      <c r="A113" s="37"/>
      <c r="B113" s="38"/>
      <c r="C113" s="114"/>
      <c r="D113" s="114"/>
      <c r="E113" s="115">
        <f>SUMIFS(Lançamentos!$E:$E,Lançamentos!$H:$H,E$102,Lançamentos!$D:$D,$C113)</f>
        <v>0</v>
      </c>
      <c r="F113" s="115">
        <f>SUMIFS(Lançamentos!$E:$E,Lançamentos!$H:$H,F$102,Lançamentos!$D:$D,$C113)</f>
        <v>0</v>
      </c>
      <c r="G113" s="115">
        <f>SUMIFS(Lançamentos!$E:$E,Lançamentos!$H:$H,G$102,Lançamentos!$D:$D,$C113)</f>
        <v>0</v>
      </c>
      <c r="H113" s="115">
        <f>SUMIFS(Lançamentos!$E:$E,Lançamentos!$H:$H,H$102,Lançamentos!$D:$D,$C113)</f>
        <v>0</v>
      </c>
      <c r="I113" s="115">
        <f>SUMIFS(Lançamentos!$E:$E,Lançamentos!$H:$H,I$102,Lançamentos!$D:$D,$C113)</f>
        <v>0</v>
      </c>
      <c r="J113" s="115">
        <f>SUMIFS(Lançamentos!$E:$E,Lançamentos!$H:$H,J$102,Lançamentos!$D:$D,$C113)</f>
        <v>0</v>
      </c>
      <c r="K113" s="115">
        <f>SUMIFS(Lançamentos!$E:$E,Lançamentos!$H:$H,K$102,Lançamentos!$D:$D,$C113)</f>
        <v>0</v>
      </c>
      <c r="L113" s="115">
        <f>SUMIFS(Lançamentos!$E:$E,Lançamentos!$H:$H,L$102,Lançamentos!$D:$D,$C113)</f>
        <v>0</v>
      </c>
      <c r="M113" s="115">
        <f>SUMIFS(Lançamentos!$E:$E,Lançamentos!$H:$H,M$102,Lançamentos!$D:$D,$C113)</f>
        <v>0</v>
      </c>
      <c r="N113" s="115">
        <f>SUMIFS(Lançamentos!$E:$E,Lançamentos!$H:$H,N$102,Lançamentos!$D:$D,$C113)</f>
        <v>0</v>
      </c>
      <c r="O113" s="115">
        <f>SUMIFS(Lançamentos!$E:$E,Lançamentos!$H:$H,O$102,Lançamentos!$D:$D,$C113)</f>
        <v>0</v>
      </c>
      <c r="P113" s="115">
        <f>SUMIFS(Lançamentos!$E:$E,Lançamentos!$H:$H,P$102,Lançamentos!$D:$D,$C113)</f>
        <v>0</v>
      </c>
      <c r="Q113" s="43"/>
      <c r="R113" s="43"/>
      <c r="S113" s="43"/>
      <c r="T113" s="113"/>
    </row>
    <row r="114" spans="1:20" ht="14.4" outlineLevel="1">
      <c r="A114" s="36"/>
      <c r="B114" s="36"/>
      <c r="C114" s="141"/>
      <c r="D114" s="134"/>
      <c r="E114" s="112">
        <f>SUMIFS(Lançamentos!$E:$E,Lançamentos!$H:$H,E$102,Lançamentos!$D:$D,$C114)</f>
        <v>0</v>
      </c>
      <c r="F114" s="112">
        <f>SUMIFS(Lançamentos!$E:$E,Lançamentos!$H:$H,F$102,Lançamentos!$D:$D,$C114)</f>
        <v>0</v>
      </c>
      <c r="G114" s="112">
        <f>SUMIFS(Lançamentos!$E:$E,Lançamentos!$H:$H,G$102,Lançamentos!$D:$D,$C114)</f>
        <v>0</v>
      </c>
      <c r="H114" s="112">
        <f>SUMIFS(Lançamentos!$E:$E,Lançamentos!$H:$H,H$102,Lançamentos!$D:$D,$C114)</f>
        <v>0</v>
      </c>
      <c r="I114" s="112">
        <f>SUMIFS(Lançamentos!$E:$E,Lançamentos!$H:$H,I$102,Lançamentos!$D:$D,$C114)</f>
        <v>0</v>
      </c>
      <c r="J114" s="112">
        <f>SUMIFS(Lançamentos!$E:$E,Lançamentos!$H:$H,J$102,Lançamentos!$D:$D,$C114)</f>
        <v>0</v>
      </c>
      <c r="K114" s="112">
        <f>SUMIFS(Lançamentos!$E:$E,Lançamentos!$H:$H,K$102,Lançamentos!$D:$D,$C114)</f>
        <v>0</v>
      </c>
      <c r="L114" s="112">
        <f>SUMIFS(Lançamentos!$E:$E,Lançamentos!$H:$H,L$102,Lançamentos!$D:$D,$C114)</f>
        <v>0</v>
      </c>
      <c r="M114" s="112">
        <f>SUMIFS(Lançamentos!$E:$E,Lançamentos!$H:$H,M$102,Lançamentos!$D:$D,$C114)</f>
        <v>0</v>
      </c>
      <c r="N114" s="112">
        <f>SUMIFS(Lançamentos!$E:$E,Lançamentos!$H:$H,N$102,Lançamentos!$D:$D,$C114)</f>
        <v>0</v>
      </c>
      <c r="O114" s="112">
        <f>SUMIFS(Lançamentos!$E:$E,Lançamentos!$H:$H,O$102,Lançamentos!$D:$D,$C114)</f>
        <v>0</v>
      </c>
      <c r="P114" s="112">
        <f>SUMIFS(Lançamentos!$E:$E,Lançamentos!$H:$H,P$102,Lançamentos!$D:$D,$C114)</f>
        <v>0</v>
      </c>
      <c r="Q114" s="46"/>
      <c r="R114" s="46"/>
      <c r="S114" s="46"/>
      <c r="T114" s="113"/>
    </row>
    <row r="115" spans="1:20" ht="16.2" outlineLevel="1">
      <c r="A115" s="37"/>
      <c r="B115" s="38"/>
      <c r="C115" s="138"/>
      <c r="D115" s="134"/>
      <c r="E115" s="115">
        <f>SUMIFS(Lançamentos!$E:$E,Lançamentos!$H:$H,E$102,Lançamentos!$D:$D,$C115)</f>
        <v>0</v>
      </c>
      <c r="F115" s="115">
        <f>SUMIFS(Lançamentos!$E:$E,Lançamentos!$H:$H,F$102,Lançamentos!$D:$D,$C115)</f>
        <v>0</v>
      </c>
      <c r="G115" s="115">
        <f>SUMIFS(Lançamentos!$E:$E,Lançamentos!$H:$H,G$102,Lançamentos!$D:$D,$C115)</f>
        <v>0</v>
      </c>
      <c r="H115" s="115">
        <f>SUMIFS(Lançamentos!$E:$E,Lançamentos!$H:$H,H$102,Lançamentos!$D:$D,$C115)</f>
        <v>0</v>
      </c>
      <c r="I115" s="115">
        <f>SUMIFS(Lançamentos!$E:$E,Lançamentos!$H:$H,I$102,Lançamentos!$D:$D,$C115)</f>
        <v>0</v>
      </c>
      <c r="J115" s="115">
        <f>SUMIFS(Lançamentos!$E:$E,Lançamentos!$H:$H,J$102,Lançamentos!$D:$D,$C115)</f>
        <v>0</v>
      </c>
      <c r="K115" s="115">
        <f>SUMIFS(Lançamentos!$E:$E,Lançamentos!$H:$H,K$102,Lançamentos!$D:$D,$C115)</f>
        <v>0</v>
      </c>
      <c r="L115" s="115">
        <f>SUMIFS(Lançamentos!$E:$E,Lançamentos!$H:$H,L$102,Lançamentos!$D:$D,$C115)</f>
        <v>0</v>
      </c>
      <c r="M115" s="115">
        <f>SUMIFS(Lançamentos!$E:$E,Lançamentos!$H:$H,M$102,Lançamentos!$D:$D,$C115)</f>
        <v>0</v>
      </c>
      <c r="N115" s="115">
        <f>SUMIFS(Lançamentos!$E:$E,Lançamentos!$H:$H,N$102,Lançamentos!$D:$D,$C115)</f>
        <v>0</v>
      </c>
      <c r="O115" s="115">
        <f>SUMIFS(Lançamentos!$E:$E,Lançamentos!$H:$H,O$102,Lançamentos!$D:$D,$C115)</f>
        <v>0</v>
      </c>
      <c r="P115" s="115">
        <f>SUMIFS(Lançamentos!$E:$E,Lançamentos!$H:$H,P$102,Lançamentos!$D:$D,$C115)</f>
        <v>0</v>
      </c>
      <c r="Q115" s="43"/>
      <c r="R115" s="43"/>
      <c r="S115" s="43"/>
      <c r="T115" s="113"/>
    </row>
    <row r="116" spans="1:20" ht="14.4" outlineLevel="1">
      <c r="A116" s="36"/>
      <c r="B116" s="36"/>
      <c r="C116" s="141"/>
      <c r="D116" s="134"/>
      <c r="E116" s="112">
        <f>SUMIFS(Lançamentos!$E:$E,Lançamentos!$H:$H,E$102,Lançamentos!$D:$D,$C116)</f>
        <v>0</v>
      </c>
      <c r="F116" s="112">
        <f>SUMIFS(Lançamentos!$E:$E,Lançamentos!$H:$H,F$102,Lançamentos!$D:$D,$C116)</f>
        <v>0</v>
      </c>
      <c r="G116" s="112">
        <f>SUMIFS(Lançamentos!$E:$E,Lançamentos!$H:$H,G$102,Lançamentos!$D:$D,$C116)</f>
        <v>0</v>
      </c>
      <c r="H116" s="112">
        <f>SUMIFS(Lançamentos!$E:$E,Lançamentos!$H:$H,H$102,Lançamentos!$D:$D,$C116)</f>
        <v>0</v>
      </c>
      <c r="I116" s="112">
        <f>SUMIFS(Lançamentos!$E:$E,Lançamentos!$H:$H,I$102,Lançamentos!$D:$D,$C116)</f>
        <v>0</v>
      </c>
      <c r="J116" s="112">
        <f>SUMIFS(Lançamentos!$E:$E,Lançamentos!$H:$H,J$102,Lançamentos!$D:$D,$C116)</f>
        <v>0</v>
      </c>
      <c r="K116" s="112">
        <f>SUMIFS(Lançamentos!$E:$E,Lançamentos!$H:$H,K$102,Lançamentos!$D:$D,$C116)</f>
        <v>0</v>
      </c>
      <c r="L116" s="112">
        <f>SUMIFS(Lançamentos!$E:$E,Lançamentos!$H:$H,L$102,Lançamentos!$D:$D,$C116)</f>
        <v>0</v>
      </c>
      <c r="M116" s="112">
        <f>SUMIFS(Lançamentos!$E:$E,Lançamentos!$H:$H,M$102,Lançamentos!$D:$D,$C116)</f>
        <v>0</v>
      </c>
      <c r="N116" s="112">
        <f>SUMIFS(Lançamentos!$E:$E,Lançamentos!$H:$H,N$102,Lançamentos!$D:$D,$C116)</f>
        <v>0</v>
      </c>
      <c r="O116" s="112">
        <f>SUMIFS(Lançamentos!$E:$E,Lançamentos!$H:$H,O$102,Lançamentos!$D:$D,$C116)</f>
        <v>0</v>
      </c>
      <c r="P116" s="112">
        <f>SUMIFS(Lançamentos!$E:$E,Lançamentos!$H:$H,P$102,Lançamentos!$D:$D,$C116)</f>
        <v>0</v>
      </c>
      <c r="Q116" s="46"/>
      <c r="R116" s="46"/>
      <c r="S116" s="46"/>
      <c r="T116" s="113"/>
    </row>
    <row r="117" spans="1:20" ht="14.4" outlineLevel="1">
      <c r="A117" s="44"/>
      <c r="B117" s="44"/>
      <c r="C117" s="140"/>
      <c r="D117" s="134"/>
      <c r="E117" s="115">
        <f>SUMIFS(Lançamentos!$E:$E,Lançamentos!$H:$H,E$102,Lançamentos!$D:$D,$C117)</f>
        <v>0</v>
      </c>
      <c r="F117" s="115">
        <f>SUMIFS(Lançamentos!$E:$E,Lançamentos!$H:$H,F$102,Lançamentos!$D:$D,$C117)</f>
        <v>0</v>
      </c>
      <c r="G117" s="115">
        <f>SUMIFS(Lançamentos!$E:$E,Lançamentos!$H:$H,G$102,Lançamentos!$D:$D,$C117)</f>
        <v>0</v>
      </c>
      <c r="H117" s="115">
        <f>SUMIFS(Lançamentos!$E:$E,Lançamentos!$H:$H,H$102,Lançamentos!$D:$D,$C117)</f>
        <v>0</v>
      </c>
      <c r="I117" s="115">
        <f>SUMIFS(Lançamentos!$E:$E,Lançamentos!$H:$H,I$102,Lançamentos!$D:$D,$C117)</f>
        <v>0</v>
      </c>
      <c r="J117" s="115">
        <f>SUMIFS(Lançamentos!$E:$E,Lançamentos!$H:$H,J$102,Lançamentos!$D:$D,$C117)</f>
        <v>0</v>
      </c>
      <c r="K117" s="115">
        <f>SUMIFS(Lançamentos!$E:$E,Lançamentos!$H:$H,K$102,Lançamentos!$D:$D,$C117)</f>
        <v>0</v>
      </c>
      <c r="L117" s="115">
        <f>SUMIFS(Lançamentos!$E:$E,Lançamentos!$H:$H,L$102,Lançamentos!$D:$D,$C117)</f>
        <v>0</v>
      </c>
      <c r="M117" s="115">
        <f>SUMIFS(Lançamentos!$E:$E,Lançamentos!$H:$H,M$102,Lançamentos!$D:$D,$C117)</f>
        <v>0</v>
      </c>
      <c r="N117" s="115">
        <f>SUMIFS(Lançamentos!$E:$E,Lançamentos!$H:$H,N$102,Lançamentos!$D:$D,$C117)</f>
        <v>0</v>
      </c>
      <c r="O117" s="115">
        <f>SUMIFS(Lançamentos!$E:$E,Lançamentos!$H:$H,O$102,Lançamentos!$D:$D,$C117)</f>
        <v>0</v>
      </c>
      <c r="P117" s="115">
        <f>SUMIFS(Lançamentos!$E:$E,Lançamentos!$H:$H,P$102,Lançamentos!$D:$D,$C117)</f>
        <v>0</v>
      </c>
      <c r="Q117" s="43"/>
      <c r="R117" s="43"/>
      <c r="S117" s="43"/>
      <c r="T117" s="113"/>
    </row>
    <row r="118" spans="1:20" ht="14.4" outlineLevel="1">
      <c r="A118" s="36"/>
      <c r="B118" s="36"/>
      <c r="C118" s="141"/>
      <c r="D118" s="134"/>
      <c r="E118" s="112">
        <f>SUMIFS(Lançamentos!$E:$E,Lançamentos!$H:$H,E$102,Lançamentos!$D:$D,$C118)</f>
        <v>0</v>
      </c>
      <c r="F118" s="112">
        <f>SUMIFS(Lançamentos!$E:$E,Lançamentos!$H:$H,F$102,Lançamentos!$D:$D,$C118)</f>
        <v>0</v>
      </c>
      <c r="G118" s="112">
        <f>SUMIFS(Lançamentos!$E:$E,Lançamentos!$H:$H,G$102,Lançamentos!$D:$D,$C118)</f>
        <v>0</v>
      </c>
      <c r="H118" s="112">
        <f>SUMIFS(Lançamentos!$E:$E,Lançamentos!$H:$H,H$102,Lançamentos!$D:$D,$C118)</f>
        <v>0</v>
      </c>
      <c r="I118" s="112">
        <f>SUMIFS(Lançamentos!$E:$E,Lançamentos!$H:$H,I$102,Lançamentos!$D:$D,$C118)</f>
        <v>0</v>
      </c>
      <c r="J118" s="112">
        <f>SUMIFS(Lançamentos!$E:$E,Lançamentos!$H:$H,J$102,Lançamentos!$D:$D,$C118)</f>
        <v>0</v>
      </c>
      <c r="K118" s="112">
        <f>SUMIFS(Lançamentos!$E:$E,Lançamentos!$H:$H,K$102,Lançamentos!$D:$D,$C118)</f>
        <v>0</v>
      </c>
      <c r="L118" s="112">
        <f>SUMIFS(Lançamentos!$E:$E,Lançamentos!$H:$H,L$102,Lançamentos!$D:$D,$C118)</f>
        <v>0</v>
      </c>
      <c r="M118" s="112">
        <f>SUMIFS(Lançamentos!$E:$E,Lançamentos!$H:$H,M$102,Lançamentos!$D:$D,$C118)</f>
        <v>0</v>
      </c>
      <c r="N118" s="112">
        <f>SUMIFS(Lançamentos!$E:$E,Lançamentos!$H:$H,N$102,Lançamentos!$D:$D,$C118)</f>
        <v>0</v>
      </c>
      <c r="O118" s="112">
        <f>SUMIFS(Lançamentos!$E:$E,Lançamentos!$H:$H,O$102,Lançamentos!$D:$D,$C118)</f>
        <v>0</v>
      </c>
      <c r="P118" s="112">
        <f>SUMIFS(Lançamentos!$E:$E,Lançamentos!$H:$H,P$102,Lançamentos!$D:$D,$C118)</f>
        <v>0</v>
      </c>
      <c r="Q118" s="46"/>
      <c r="R118" s="46"/>
      <c r="S118" s="46"/>
      <c r="T118" s="113"/>
    </row>
    <row r="119" spans="1:20" ht="14.4" outlineLevel="1">
      <c r="A119" s="44"/>
      <c r="B119" s="44"/>
      <c r="C119" s="140"/>
      <c r="D119" s="134"/>
      <c r="E119" s="115">
        <f>SUMIFS(Lançamentos!$E:$E,Lançamentos!$H:$H,E$102,Lançamentos!$D:$D,$C119)</f>
        <v>0</v>
      </c>
      <c r="F119" s="115">
        <f>SUMIFS(Lançamentos!$E:$E,Lançamentos!$H:$H,F$102,Lançamentos!$D:$D,$C119)</f>
        <v>0</v>
      </c>
      <c r="G119" s="115">
        <f>SUMIFS(Lançamentos!$E:$E,Lançamentos!$H:$H,G$102,Lançamentos!$D:$D,$C119)</f>
        <v>0</v>
      </c>
      <c r="H119" s="115">
        <f>SUMIFS(Lançamentos!$E:$E,Lançamentos!$H:$H,H$102,Lançamentos!$D:$D,$C119)</f>
        <v>0</v>
      </c>
      <c r="I119" s="115">
        <f>SUMIFS(Lançamentos!$E:$E,Lançamentos!$H:$H,I$102,Lançamentos!$D:$D,$C119)</f>
        <v>0</v>
      </c>
      <c r="J119" s="115">
        <f>SUMIFS(Lançamentos!$E:$E,Lançamentos!$H:$H,J$102,Lançamentos!$D:$D,$C119)</f>
        <v>0</v>
      </c>
      <c r="K119" s="115">
        <f>SUMIFS(Lançamentos!$E:$E,Lançamentos!$H:$H,K$102,Lançamentos!$D:$D,$C119)</f>
        <v>0</v>
      </c>
      <c r="L119" s="115">
        <f>SUMIFS(Lançamentos!$E:$E,Lançamentos!$H:$H,L$102,Lançamentos!$D:$D,$C119)</f>
        <v>0</v>
      </c>
      <c r="M119" s="115">
        <f>SUMIFS(Lançamentos!$E:$E,Lançamentos!$H:$H,M$102,Lançamentos!$D:$D,$C119)</f>
        <v>0</v>
      </c>
      <c r="N119" s="115">
        <f>SUMIFS(Lançamentos!$E:$E,Lançamentos!$H:$H,N$102,Lançamentos!$D:$D,$C119)</f>
        <v>0</v>
      </c>
      <c r="O119" s="115">
        <f>SUMIFS(Lançamentos!$E:$E,Lançamentos!$H:$H,O$102,Lançamentos!$D:$D,$C119)</f>
        <v>0</v>
      </c>
      <c r="P119" s="115">
        <f>SUMIFS(Lançamentos!$E:$E,Lançamentos!$H:$H,P$102,Lançamentos!$D:$D,$C119)</f>
        <v>0</v>
      </c>
      <c r="Q119" s="43"/>
      <c r="R119" s="43"/>
      <c r="S119" s="43"/>
      <c r="T119" s="113"/>
    </row>
    <row r="120" spans="1:20" ht="14.4" outlineLevel="1">
      <c r="A120" s="36"/>
      <c r="B120" s="36"/>
      <c r="C120" s="141"/>
      <c r="D120" s="134"/>
      <c r="E120" s="112">
        <f>SUMIFS(Lançamentos!$E:$E,Lançamentos!$H:$H,E$102,Lançamentos!$D:$D,$C120)</f>
        <v>0</v>
      </c>
      <c r="F120" s="112">
        <f>SUMIFS(Lançamentos!$E:$E,Lançamentos!$H:$H,F$102,Lançamentos!$D:$D,$C120)</f>
        <v>0</v>
      </c>
      <c r="G120" s="112">
        <f>SUMIFS(Lançamentos!$E:$E,Lançamentos!$H:$H,G$102,Lançamentos!$D:$D,$C120)</f>
        <v>0</v>
      </c>
      <c r="H120" s="112">
        <f>SUMIFS(Lançamentos!$E:$E,Lançamentos!$H:$H,H$102,Lançamentos!$D:$D,$C120)</f>
        <v>0</v>
      </c>
      <c r="I120" s="112">
        <f>SUMIFS(Lançamentos!$E:$E,Lançamentos!$H:$H,I$102,Lançamentos!$D:$D,$C120)</f>
        <v>0</v>
      </c>
      <c r="J120" s="112">
        <f>SUMIFS(Lançamentos!$E:$E,Lançamentos!$H:$H,J$102,Lançamentos!$D:$D,$C120)</f>
        <v>0</v>
      </c>
      <c r="K120" s="112">
        <f>SUMIFS(Lançamentos!$E:$E,Lançamentos!$H:$H,K$102,Lançamentos!$D:$D,$C120)</f>
        <v>0</v>
      </c>
      <c r="L120" s="112">
        <f>SUMIFS(Lançamentos!$E:$E,Lançamentos!$H:$H,L$102,Lançamentos!$D:$D,$C120)</f>
        <v>0</v>
      </c>
      <c r="M120" s="112">
        <f>SUMIFS(Lançamentos!$E:$E,Lançamentos!$H:$H,M$102,Lançamentos!$D:$D,$C120)</f>
        <v>0</v>
      </c>
      <c r="N120" s="112">
        <f>SUMIFS(Lançamentos!$E:$E,Lançamentos!$H:$H,N$102,Lançamentos!$D:$D,$C120)</f>
        <v>0</v>
      </c>
      <c r="O120" s="112">
        <f>SUMIFS(Lançamentos!$E:$E,Lançamentos!$H:$H,O$102,Lançamentos!$D:$D,$C120)</f>
        <v>0</v>
      </c>
      <c r="P120" s="112">
        <f>SUMIFS(Lançamentos!$E:$E,Lançamentos!$H:$H,P$102,Lançamentos!$D:$D,$C120)</f>
        <v>0</v>
      </c>
      <c r="Q120" s="46"/>
      <c r="R120" s="46"/>
      <c r="S120" s="46"/>
      <c r="T120" s="113"/>
    </row>
    <row r="121" spans="1:20" ht="26.25" customHeight="1">
      <c r="A121" s="120"/>
      <c r="B121" s="121"/>
      <c r="C121" s="122" t="s">
        <v>20</v>
      </c>
      <c r="D121" s="123"/>
      <c r="E121" s="123" t="s">
        <v>0</v>
      </c>
      <c r="F121" s="123" t="s">
        <v>136</v>
      </c>
      <c r="G121" s="123" t="s">
        <v>137</v>
      </c>
      <c r="H121" s="123" t="s">
        <v>138</v>
      </c>
      <c r="I121" s="123" t="s">
        <v>139</v>
      </c>
      <c r="J121" s="123" t="s">
        <v>140</v>
      </c>
      <c r="K121" s="123" t="s">
        <v>141</v>
      </c>
      <c r="L121" s="123" t="s">
        <v>142</v>
      </c>
      <c r="M121" s="123" t="s">
        <v>143</v>
      </c>
      <c r="N121" s="123" t="s">
        <v>144</v>
      </c>
      <c r="O121" s="123" t="s">
        <v>145</v>
      </c>
      <c r="P121" s="123" t="s">
        <v>146</v>
      </c>
      <c r="Q121" s="124"/>
      <c r="R121" s="124"/>
      <c r="S121" s="124"/>
      <c r="T121" s="125"/>
    </row>
    <row r="122" spans="1:20" ht="16.8">
      <c r="A122" s="126"/>
      <c r="B122" s="127"/>
      <c r="C122" s="17" t="s">
        <v>28</v>
      </c>
      <c r="D122" s="110"/>
      <c r="E122" s="110">
        <f t="shared" ref="E122:F122" si="4">SUM(E123:E136)</f>
        <v>85.17</v>
      </c>
      <c r="F122" s="110">
        <f t="shared" si="4"/>
        <v>2973.58</v>
      </c>
      <c r="G122" s="110">
        <f t="shared" ref="G122:P122" si="5">SUM(G123:G135)</f>
        <v>835.88</v>
      </c>
      <c r="H122" s="110">
        <f t="shared" si="5"/>
        <v>600.75</v>
      </c>
      <c r="I122" s="110">
        <f t="shared" si="5"/>
        <v>35</v>
      </c>
      <c r="J122" s="110">
        <f t="shared" si="5"/>
        <v>1061.23</v>
      </c>
      <c r="K122" s="110">
        <f t="shared" si="5"/>
        <v>477.81</v>
      </c>
      <c r="L122" s="110">
        <f t="shared" si="5"/>
        <v>0</v>
      </c>
      <c r="M122" s="110">
        <f t="shared" si="5"/>
        <v>0</v>
      </c>
      <c r="N122" s="110">
        <f t="shared" si="5"/>
        <v>0</v>
      </c>
      <c r="O122" s="110">
        <f t="shared" si="5"/>
        <v>0</v>
      </c>
      <c r="P122" s="110">
        <f t="shared" si="5"/>
        <v>0</v>
      </c>
      <c r="Q122" s="110"/>
      <c r="R122" s="110"/>
      <c r="S122" s="110"/>
      <c r="T122" s="128"/>
    </row>
    <row r="123" spans="1:20" ht="16.2" outlineLevel="1">
      <c r="A123" s="37"/>
      <c r="B123" s="38"/>
      <c r="C123" s="138" t="s">
        <v>42</v>
      </c>
      <c r="D123" s="134"/>
      <c r="E123" s="115">
        <f>SUMIFS(Lançamentos!$E:$E,Lançamentos!$H:$H,E$121,Lançamentos!$C:$C,$C123)</f>
        <v>0</v>
      </c>
      <c r="F123" s="115">
        <f>SUMIFS(Lançamentos!$E:$E,Lançamentos!$H:$H,F$121,Lançamentos!$C:$C,$C123)</f>
        <v>2768.41</v>
      </c>
      <c r="G123" s="115">
        <f>SUMIFS(Lançamentos!$E:$E,Lançamentos!$H:$H,G$121,Lançamentos!$C:$C,$C123)</f>
        <v>800</v>
      </c>
      <c r="H123" s="115">
        <f>SUMIFS(Lançamentos!$E:$E,Lançamentos!$H:$H,H$121,Lançamentos!$C:$C,$C123)</f>
        <v>0</v>
      </c>
      <c r="I123" s="115">
        <f>SUMIFS(Lançamentos!$E:$E,Lançamentos!$H:$H,I$121,Lançamentos!$C:$C,$C123)</f>
        <v>0</v>
      </c>
      <c r="J123" s="115">
        <f>SUMIFS(Lançamentos!$E:$E,Lançamentos!$H:$H,J$121,Lançamentos!$C:$C,$C123)</f>
        <v>0</v>
      </c>
      <c r="K123" s="115">
        <f>SUMIFS(Lançamentos!$E:$E,Lançamentos!$H:$H,K$121,Lançamentos!$C:$C,$C123)</f>
        <v>0</v>
      </c>
      <c r="L123" s="115">
        <f>SUMIFS(Lançamentos!$E:$E,Lançamentos!$H:$H,L$121,Lançamentos!$C:$C,$C123)</f>
        <v>0</v>
      </c>
      <c r="M123" s="115">
        <f>SUMIFS(Lançamentos!$E:$E,Lançamentos!$H:$H,M$121,Lançamentos!$C:$C,$C123)</f>
        <v>0</v>
      </c>
      <c r="N123" s="115">
        <f>SUMIFS(Lançamentos!$E:$E,Lançamentos!$H:$H,N$121,Lançamentos!$C:$C,$C123)</f>
        <v>0</v>
      </c>
      <c r="O123" s="115">
        <f>SUMIFS(Lançamentos!$E:$E,Lançamentos!$H:$H,O$121,Lançamentos!$C:$C,$C123)</f>
        <v>0</v>
      </c>
      <c r="P123" s="115">
        <f>SUMIFS(Lançamentos!$E:$E,Lançamentos!$H:$H,P$121,Lançamentos!$C:$C,$C123)</f>
        <v>0</v>
      </c>
      <c r="Q123" s="43"/>
      <c r="R123" s="43"/>
      <c r="S123" s="43"/>
      <c r="T123" s="128"/>
    </row>
    <row r="124" spans="1:20" ht="16.2" outlineLevel="1">
      <c r="A124" s="24"/>
      <c r="B124" s="29"/>
      <c r="C124" s="139" t="s">
        <v>69</v>
      </c>
      <c r="D124" s="134"/>
      <c r="E124" s="112">
        <f>SUMIFS(Lançamentos!$E:$E,Lançamentos!$H:$H,E$121,Lançamentos!$C:$C,$C124)</f>
        <v>0</v>
      </c>
      <c r="F124" s="112">
        <f>SUMIFS(Lançamentos!$E:$E,Lançamentos!$H:$H,F$121,Lançamentos!$C:$C,$C124)</f>
        <v>0</v>
      </c>
      <c r="G124" s="112">
        <f>SUMIFS(Lançamentos!$E:$E,Lançamentos!$H:$H,G$121,Lançamentos!$C:$C,$C124)</f>
        <v>0</v>
      </c>
      <c r="H124" s="112">
        <f>SUMIFS(Lançamentos!$E:$E,Lançamentos!$H:$H,H$121,Lançamentos!$C:$C,$C124)</f>
        <v>0</v>
      </c>
      <c r="I124" s="112">
        <f>SUMIFS(Lançamentos!$E:$E,Lançamentos!$H:$H,I$121,Lançamentos!$C:$C,$C124)</f>
        <v>0</v>
      </c>
      <c r="J124" s="112">
        <f>SUMIFS(Lançamentos!$E:$E,Lançamentos!$H:$H,J$121,Lançamentos!$C:$C,$C124)</f>
        <v>400.86</v>
      </c>
      <c r="K124" s="112">
        <f>SUMIFS(Lançamentos!$E:$E,Lançamentos!$H:$H,K$121,Lançamentos!$C:$C,$C124)</f>
        <v>0</v>
      </c>
      <c r="L124" s="112">
        <f>SUMIFS(Lançamentos!$E:$E,Lançamentos!$H:$H,L$121,Lançamentos!$C:$C,$C124)</f>
        <v>0</v>
      </c>
      <c r="M124" s="112">
        <f>SUMIFS(Lançamentos!$E:$E,Lançamentos!$H:$H,M$121,Lançamentos!$C:$C,$C124)</f>
        <v>0</v>
      </c>
      <c r="N124" s="112">
        <f>SUMIFS(Lançamentos!$E:$E,Lançamentos!$H:$H,N$121,Lançamentos!$C:$C,$C124)</f>
        <v>0</v>
      </c>
      <c r="O124" s="112">
        <f>SUMIFS(Lançamentos!$E:$E,Lançamentos!$H:$H,O$121,Lançamentos!$C:$C,$C124)</f>
        <v>0</v>
      </c>
      <c r="P124" s="112">
        <f>SUMIFS(Lançamentos!$E:$E,Lançamentos!$H:$H,P$121,Lançamentos!$C:$C,$C124)</f>
        <v>0</v>
      </c>
      <c r="Q124" s="46"/>
      <c r="R124" s="46"/>
      <c r="S124" s="46"/>
      <c r="T124" s="128"/>
    </row>
    <row r="125" spans="1:20" ht="16.2" outlineLevel="1">
      <c r="A125" s="37"/>
      <c r="B125" s="38"/>
      <c r="C125" s="138" t="s">
        <v>59</v>
      </c>
      <c r="D125" s="134"/>
      <c r="E125" s="115">
        <f>SUMIFS(Lançamentos!$E:$E,Lançamentos!$H:$H,E$121,Lançamentos!$C:$C,$C125)</f>
        <v>0</v>
      </c>
      <c r="F125" s="115">
        <f>SUMIFS(Lançamentos!$E:$E,Lançamentos!$H:$H,F$121,Lançamentos!$C:$C,$C125)</f>
        <v>0</v>
      </c>
      <c r="G125" s="115">
        <f>SUMIFS(Lançamentos!$E:$E,Lançamentos!$H:$H,G$121,Lançamentos!$C:$C,$C125)</f>
        <v>0</v>
      </c>
      <c r="H125" s="115">
        <f>SUMIFS(Lançamentos!$E:$E,Lançamentos!$H:$H,H$121,Lançamentos!$C:$C,$C125)</f>
        <v>193.67</v>
      </c>
      <c r="I125" s="115">
        <f>SUMIFS(Lançamentos!$E:$E,Lançamentos!$H:$H,I$121,Lançamentos!$C:$C,$C125)</f>
        <v>0</v>
      </c>
      <c r="J125" s="115">
        <f>SUMIFS(Lançamentos!$E:$E,Lançamentos!$H:$H,J$121,Lançamentos!$C:$C,$C125)</f>
        <v>624.66000000000008</v>
      </c>
      <c r="K125" s="115">
        <f>SUMIFS(Lançamentos!$E:$E,Lançamentos!$H:$H,K$121,Lançamentos!$C:$C,$C125)</f>
        <v>0</v>
      </c>
      <c r="L125" s="115">
        <f>SUMIFS(Lançamentos!$E:$E,Lançamentos!$H:$H,L$121,Lançamentos!$C:$C,$C125)</f>
        <v>0</v>
      </c>
      <c r="M125" s="115">
        <f>SUMIFS(Lançamentos!$E:$E,Lançamentos!$H:$H,M$121,Lançamentos!$C:$C,$C125)</f>
        <v>0</v>
      </c>
      <c r="N125" s="115">
        <f>SUMIFS(Lançamentos!$E:$E,Lançamentos!$H:$H,N$121,Lançamentos!$C:$C,$C125)</f>
        <v>0</v>
      </c>
      <c r="O125" s="115">
        <f>SUMIFS(Lançamentos!$E:$E,Lançamentos!$H:$H,O$121,Lançamentos!$C:$C,$C125)</f>
        <v>0</v>
      </c>
      <c r="P125" s="115">
        <f>SUMIFS(Lançamentos!$E:$E,Lançamentos!$H:$H,P$121,Lançamentos!$C:$C,$C125)</f>
        <v>0</v>
      </c>
      <c r="Q125" s="43"/>
      <c r="R125" s="43"/>
      <c r="S125" s="43"/>
      <c r="T125" s="128"/>
    </row>
    <row r="126" spans="1:20" ht="16.2" outlineLevel="1">
      <c r="A126" s="24"/>
      <c r="B126" s="29"/>
      <c r="C126" s="139" t="s">
        <v>27</v>
      </c>
      <c r="D126" s="134"/>
      <c r="E126" s="112">
        <f>SUMIFS(Lançamentos!$E:$E,Lançamentos!$H:$H,E$121,Lançamentos!$C:$C,$C126)</f>
        <v>35.17</v>
      </c>
      <c r="F126" s="112">
        <f>SUMIFS(Lançamentos!$E:$E,Lançamentos!$H:$H,F$121,Lançamentos!$C:$C,$C126)</f>
        <v>35.17</v>
      </c>
      <c r="G126" s="112">
        <f>SUMIFS(Lançamentos!$E:$E,Lançamentos!$H:$H,G$121,Lançamentos!$C:$C,$C126)</f>
        <v>35.880000000000003</v>
      </c>
      <c r="H126" s="112">
        <f>SUMIFS(Lançamentos!$E:$E,Lançamentos!$H:$H,H$121,Lançamentos!$C:$C,$C126)</f>
        <v>35</v>
      </c>
      <c r="I126" s="112">
        <f>SUMIFS(Lançamentos!$E:$E,Lançamentos!$H:$H,I$121,Lançamentos!$C:$C,$C126)</f>
        <v>35</v>
      </c>
      <c r="J126" s="112">
        <f>SUMIFS(Lançamentos!$E:$E,Lançamentos!$H:$H,J$121,Lançamentos!$C:$C,$C126)</f>
        <v>35.71</v>
      </c>
      <c r="K126" s="112">
        <f>SUMIFS(Lançamentos!$E:$E,Lançamentos!$H:$H,K$121,Lançamentos!$C:$C,$C126)</f>
        <v>35</v>
      </c>
      <c r="L126" s="112">
        <f>SUMIFS(Lançamentos!$E:$E,Lançamentos!$H:$H,L$121,Lançamentos!$C:$C,$C126)</f>
        <v>0</v>
      </c>
      <c r="M126" s="112">
        <f>SUMIFS(Lançamentos!$E:$E,Lançamentos!$H:$H,M$121,Lançamentos!$C:$C,$C126)</f>
        <v>0</v>
      </c>
      <c r="N126" s="112">
        <f>SUMIFS(Lançamentos!$E:$E,Lançamentos!$H:$H,N$121,Lançamentos!$C:$C,$C126)</f>
        <v>0</v>
      </c>
      <c r="O126" s="112">
        <f>SUMIFS(Lançamentos!$E:$E,Lançamentos!$H:$H,O$121,Lançamentos!$C:$C,$C126)</f>
        <v>0</v>
      </c>
      <c r="P126" s="112">
        <f>SUMIFS(Lançamentos!$E:$E,Lançamentos!$H:$H,P$121,Lançamentos!$C:$C,$C126)</f>
        <v>0</v>
      </c>
      <c r="Q126" s="46"/>
      <c r="R126" s="46"/>
      <c r="S126" s="46"/>
      <c r="T126" s="128"/>
    </row>
    <row r="127" spans="1:20" ht="16.2" outlineLevel="1">
      <c r="A127" s="44"/>
      <c r="B127" s="44"/>
      <c r="C127" s="138" t="s">
        <v>54</v>
      </c>
      <c r="D127" s="134"/>
      <c r="E127" s="115">
        <f>SUMIFS(Lançamentos!$E:$E,Lançamentos!$H:$H,E$121,Lançamentos!$C:$C,$C127)</f>
        <v>0</v>
      </c>
      <c r="F127" s="115">
        <f>SUMIFS(Lançamentos!$E:$E,Lançamentos!$H:$H,F$121,Lançamentos!$C:$C,$C127)</f>
        <v>0</v>
      </c>
      <c r="G127" s="115">
        <f>SUMIFS(Lançamentos!$E:$E,Lançamentos!$H:$H,G$121,Lançamentos!$C:$C,$C127)</f>
        <v>0</v>
      </c>
      <c r="H127" s="115">
        <f>SUMIFS(Lançamentos!$E:$E,Lançamentos!$H:$H,H$121,Lançamentos!$C:$C,$C127)</f>
        <v>372.08000000000004</v>
      </c>
      <c r="I127" s="115">
        <f>SUMIFS(Lançamentos!$E:$E,Lançamentos!$H:$H,I$121,Lançamentos!$C:$C,$C127)</f>
        <v>0</v>
      </c>
      <c r="J127" s="115">
        <f>SUMIFS(Lançamentos!$E:$E,Lançamentos!$H:$H,J$121,Lançamentos!$C:$C,$C127)</f>
        <v>0</v>
      </c>
      <c r="K127" s="115">
        <f>SUMIFS(Lançamentos!$E:$E,Lançamentos!$H:$H,K$121,Lançamentos!$C:$C,$C127)</f>
        <v>442.81</v>
      </c>
      <c r="L127" s="115">
        <f>SUMIFS(Lançamentos!$E:$E,Lançamentos!$H:$H,L$121,Lançamentos!$C:$C,$C127)</f>
        <v>0</v>
      </c>
      <c r="M127" s="115">
        <f>SUMIFS(Lançamentos!$E:$E,Lançamentos!$H:$H,M$121,Lançamentos!$C:$C,$C127)</f>
        <v>0</v>
      </c>
      <c r="N127" s="115">
        <f>SUMIFS(Lançamentos!$E:$E,Lançamentos!$H:$H,N$121,Lançamentos!$C:$C,$C127)</f>
        <v>0</v>
      </c>
      <c r="O127" s="115">
        <f>SUMIFS(Lançamentos!$E:$E,Lançamentos!$H:$H,O$121,Lançamentos!$C:$C,$C127)</f>
        <v>0</v>
      </c>
      <c r="P127" s="115">
        <f>SUMIFS(Lançamentos!$E:$E,Lançamentos!$H:$H,P$121,Lançamentos!$C:$C,$C127)</f>
        <v>0</v>
      </c>
      <c r="Q127" s="43"/>
      <c r="R127" s="43"/>
      <c r="S127" s="43"/>
      <c r="T127" s="4"/>
    </row>
    <row r="128" spans="1:20" ht="16.2" outlineLevel="1">
      <c r="A128" s="36"/>
      <c r="B128" s="36"/>
      <c r="C128" s="139" t="s">
        <v>78</v>
      </c>
      <c r="D128" s="134"/>
      <c r="E128" s="112">
        <f>SUMIFS(Lançamentos!$E:$E,Lançamentos!$H:$H,E$121,Lançamentos!$C:$C,$C128)</f>
        <v>0</v>
      </c>
      <c r="F128" s="112">
        <f>SUMIFS(Lançamentos!$E:$E,Lançamentos!$H:$H,F$121,Lançamentos!$C:$C,$C128)</f>
        <v>0</v>
      </c>
      <c r="G128" s="112">
        <f>SUMIFS(Lançamentos!$E:$E,Lançamentos!$H:$H,G$121,Lançamentos!$C:$C,$C128)</f>
        <v>0</v>
      </c>
      <c r="H128" s="112">
        <f>SUMIFS(Lançamentos!$E:$E,Lançamentos!$H:$H,H$121,Lançamentos!$C:$C,$C128)</f>
        <v>0</v>
      </c>
      <c r="I128" s="112">
        <f>SUMIFS(Lançamentos!$E:$E,Lançamentos!$H:$H,I$121,Lançamentos!$C:$C,$C128)</f>
        <v>0</v>
      </c>
      <c r="J128" s="112">
        <f>SUMIFS(Lançamentos!$E:$E,Lançamentos!$H:$H,J$121,Lançamentos!$C:$C,$C128)</f>
        <v>0</v>
      </c>
      <c r="K128" s="112">
        <f>SUMIFS(Lançamentos!$E:$E,Lançamentos!$H:$H,K$121,Lançamentos!$C:$C,$C128)</f>
        <v>0</v>
      </c>
      <c r="L128" s="112">
        <f>SUMIFS(Lançamentos!$E:$E,Lançamentos!$H:$H,L$121,Lançamentos!$C:$C,$C128)</f>
        <v>0</v>
      </c>
      <c r="M128" s="112">
        <f>SUMIFS(Lançamentos!$E:$E,Lançamentos!$H:$H,M$121,Lançamentos!$C:$C,$C128)</f>
        <v>0</v>
      </c>
      <c r="N128" s="112">
        <f>SUMIFS(Lançamentos!$E:$E,Lançamentos!$H:$H,N$121,Lançamentos!$C:$C,$C128)</f>
        <v>0</v>
      </c>
      <c r="O128" s="112">
        <f>SUMIFS(Lançamentos!$E:$E,Lançamentos!$H:$H,O$121,Lançamentos!$C:$C,$C128)</f>
        <v>0</v>
      </c>
      <c r="P128" s="112">
        <f>SUMIFS(Lançamentos!$E:$E,Lançamentos!$H:$H,P$121,Lançamentos!$C:$C,$C128)</f>
        <v>0</v>
      </c>
      <c r="Q128" s="46"/>
      <c r="R128" s="46"/>
      <c r="S128" s="46"/>
      <c r="T128" s="4"/>
    </row>
    <row r="129" spans="1:20" ht="16.2" outlineLevel="1">
      <c r="A129" s="44"/>
      <c r="B129" s="44"/>
      <c r="C129" s="138" t="s">
        <v>81</v>
      </c>
      <c r="D129" s="134"/>
      <c r="E129" s="115">
        <f>SUMIFS(Lançamentos!$E:$E,Lançamentos!$H:$H,E$121,Lançamentos!$C:$C,$C129)</f>
        <v>0</v>
      </c>
      <c r="F129" s="115">
        <f>SUMIFS(Lançamentos!$E:$E,Lançamentos!$H:$H,F$121,Lançamentos!$C:$C,$C129)</f>
        <v>0</v>
      </c>
      <c r="G129" s="115">
        <f>SUMIFS(Lançamentos!$E:$E,Lançamentos!$H:$H,G$121,Lançamentos!$C:$C,$C129)</f>
        <v>0</v>
      </c>
      <c r="H129" s="115">
        <f>SUMIFS(Lançamentos!$E:$E,Lançamentos!$H:$H,H$121,Lançamentos!$C:$C,$C129)</f>
        <v>0</v>
      </c>
      <c r="I129" s="115">
        <f>SUMIFS(Lançamentos!$E:$E,Lançamentos!$H:$H,I$121,Lançamentos!$C:$C,$C129)</f>
        <v>0</v>
      </c>
      <c r="J129" s="115">
        <f>SUMIFS(Lançamentos!$E:$E,Lançamentos!$H:$H,J$121,Lançamentos!$C:$C,$C129)</f>
        <v>0</v>
      </c>
      <c r="K129" s="115">
        <f>SUMIFS(Lançamentos!$E:$E,Lançamentos!$H:$H,K$121,Lançamentos!$C:$C,$C129)</f>
        <v>0</v>
      </c>
      <c r="L129" s="115">
        <f>SUMIFS(Lançamentos!$E:$E,Lançamentos!$H:$H,L$121,Lançamentos!$C:$C,$C129)</f>
        <v>0</v>
      </c>
      <c r="M129" s="115">
        <f>SUMIFS(Lançamentos!$E:$E,Lançamentos!$H:$H,M$121,Lançamentos!$C:$C,$C129)</f>
        <v>0</v>
      </c>
      <c r="N129" s="115">
        <f>SUMIFS(Lançamentos!$E:$E,Lançamentos!$H:$H,N$121,Lançamentos!$C:$C,$C129)</f>
        <v>0</v>
      </c>
      <c r="O129" s="115">
        <f>SUMIFS(Lançamentos!$E:$E,Lançamentos!$H:$H,O$121,Lançamentos!$C:$C,$C129)</f>
        <v>0</v>
      </c>
      <c r="P129" s="115">
        <f>SUMIFS(Lançamentos!$E:$E,Lançamentos!$H:$H,P$121,Lançamentos!$C:$C,$C129)</f>
        <v>0</v>
      </c>
      <c r="Q129" s="43"/>
      <c r="R129" s="43"/>
      <c r="S129" s="43"/>
      <c r="T129" s="4"/>
    </row>
    <row r="130" spans="1:20" ht="16.2" outlineLevel="1">
      <c r="A130" s="36"/>
      <c r="B130" s="36"/>
      <c r="C130" s="139" t="s">
        <v>75</v>
      </c>
      <c r="D130" s="134"/>
      <c r="E130" s="112">
        <f>SUMIFS(Lançamentos!$E:$E,Lançamentos!$H:$H,E$121,Lançamentos!$C:$C,$C130)</f>
        <v>0</v>
      </c>
      <c r="F130" s="112">
        <f>SUMIFS(Lançamentos!$E:$E,Lançamentos!$H:$H,F$121,Lançamentos!$C:$C,$C130)</f>
        <v>0</v>
      </c>
      <c r="G130" s="112">
        <f>SUMIFS(Lançamentos!$E:$E,Lançamentos!$H:$H,G$121,Lançamentos!$C:$C,$C130)</f>
        <v>0</v>
      </c>
      <c r="H130" s="112">
        <f>SUMIFS(Lançamentos!$E:$E,Lançamentos!$H:$H,H$121,Lançamentos!$C:$C,$C130)</f>
        <v>0</v>
      </c>
      <c r="I130" s="112">
        <f>SUMIFS(Lançamentos!$E:$E,Lançamentos!$H:$H,I$121,Lançamentos!$C:$C,$C130)</f>
        <v>0</v>
      </c>
      <c r="J130" s="112">
        <f>SUMIFS(Lançamentos!$E:$E,Lançamentos!$H:$H,J$121,Lançamentos!$C:$C,$C130)</f>
        <v>0</v>
      </c>
      <c r="K130" s="112">
        <f>SUMIFS(Lançamentos!$E:$E,Lançamentos!$H:$H,K$121,Lançamentos!$C:$C,$C130)</f>
        <v>0</v>
      </c>
      <c r="L130" s="112">
        <f>SUMIFS(Lançamentos!$E:$E,Lançamentos!$H:$H,L$121,Lançamentos!$C:$C,$C130)</f>
        <v>0</v>
      </c>
      <c r="M130" s="112">
        <f>SUMIFS(Lançamentos!$E:$E,Lançamentos!$H:$H,M$121,Lançamentos!$C:$C,$C130)</f>
        <v>0</v>
      </c>
      <c r="N130" s="112">
        <f>SUMIFS(Lançamentos!$E:$E,Lançamentos!$H:$H,N$121,Lançamentos!$C:$C,$C130)</f>
        <v>0</v>
      </c>
      <c r="O130" s="112">
        <f>SUMIFS(Lançamentos!$E:$E,Lançamentos!$H:$H,O$121,Lançamentos!$C:$C,$C130)</f>
        <v>0</v>
      </c>
      <c r="P130" s="112">
        <f>SUMIFS(Lançamentos!$E:$E,Lançamentos!$H:$H,P$121,Lançamentos!$C:$C,$C130)</f>
        <v>0</v>
      </c>
      <c r="Q130" s="46"/>
      <c r="R130" s="46"/>
      <c r="S130" s="46"/>
      <c r="T130" s="4"/>
    </row>
    <row r="131" spans="1:20" ht="16.2" outlineLevel="1">
      <c r="A131" s="138"/>
      <c r="B131" s="134"/>
      <c r="C131" s="138" t="s">
        <v>84</v>
      </c>
      <c r="D131" s="134"/>
      <c r="E131" s="115">
        <f>SUMIFS(Lançamentos!$E:$E,Lançamentos!$H:$H,E$121,Lançamentos!$C:$C,$C131)</f>
        <v>0</v>
      </c>
      <c r="F131" s="115">
        <f>SUMIFS(Lançamentos!$E:$E,Lançamentos!$H:$H,F$121,Lançamentos!$C:$C,$C131)</f>
        <v>0</v>
      </c>
      <c r="G131" s="115">
        <f>SUMIFS(Lançamentos!$E:$E,Lançamentos!$H:$H,G$121,Lançamentos!$C:$C,$C131)</f>
        <v>0</v>
      </c>
      <c r="H131" s="115">
        <f>SUMIFS(Lançamentos!$E:$E,Lançamentos!$H:$H,H$121,Lançamentos!$C:$C,$C131)</f>
        <v>0</v>
      </c>
      <c r="I131" s="115">
        <f>SUMIFS(Lançamentos!$E:$E,Lançamentos!$H:$H,I$121,Lançamentos!$C:$C,$C131)</f>
        <v>0</v>
      </c>
      <c r="J131" s="115">
        <f>SUMIFS(Lançamentos!$E:$E,Lançamentos!$H:$H,J$121,Lançamentos!$C:$C,$C131)</f>
        <v>0</v>
      </c>
      <c r="K131" s="115">
        <f>SUMIFS(Lançamentos!$E:$E,Lançamentos!$H:$H,K$121,Lançamentos!$C:$C,$C131)</f>
        <v>0</v>
      </c>
      <c r="L131" s="115">
        <f>SUMIFS(Lançamentos!$E:$E,Lançamentos!$H:$H,L$121,Lançamentos!$C:$C,$C131)</f>
        <v>0</v>
      </c>
      <c r="M131" s="115">
        <f>SUMIFS(Lançamentos!$E:$E,Lançamentos!$H:$H,M$121,Lançamentos!$C:$C,$C131)</f>
        <v>0</v>
      </c>
      <c r="N131" s="115">
        <f>SUMIFS(Lançamentos!$E:$E,Lançamentos!$H:$H,N$121,Lançamentos!$C:$C,$C131)</f>
        <v>0</v>
      </c>
      <c r="O131" s="115">
        <f>SUMIFS(Lançamentos!$E:$E,Lançamentos!$H:$H,O$121,Lançamentos!$C:$C,$C131)</f>
        <v>0</v>
      </c>
      <c r="P131" s="115">
        <f>SUMIFS(Lançamentos!$E:$E,Lançamentos!$H:$H,P$121,Lançamentos!$C:$C,$C131)</f>
        <v>0</v>
      </c>
      <c r="Q131" s="138"/>
      <c r="R131" s="134"/>
      <c r="S131" s="138"/>
      <c r="T131" s="134"/>
    </row>
    <row r="132" spans="1:20" ht="16.2" outlineLevel="1">
      <c r="A132" s="36"/>
      <c r="B132" s="36"/>
      <c r="C132" s="139" t="s">
        <v>76</v>
      </c>
      <c r="D132" s="134"/>
      <c r="E132" s="112">
        <f>SUMIFS(Lançamentos!$E:$E,Lançamentos!$H:$H,E$121,Lançamentos!$C:$C,$C132)</f>
        <v>0</v>
      </c>
      <c r="F132" s="112">
        <f>SUMIFS(Lançamentos!$E:$E,Lançamentos!$H:$H,F$121,Lançamentos!$C:$C,$C132)</f>
        <v>0</v>
      </c>
      <c r="G132" s="112">
        <f>SUMIFS(Lançamentos!$E:$E,Lançamentos!$H:$H,G$121,Lançamentos!$C:$C,$C132)</f>
        <v>0</v>
      </c>
      <c r="H132" s="112">
        <f>SUMIFS(Lançamentos!$E:$E,Lançamentos!$H:$H,H$121,Lançamentos!$C:$C,$C132)</f>
        <v>0</v>
      </c>
      <c r="I132" s="112">
        <f>SUMIFS(Lançamentos!$E:$E,Lançamentos!$H:$H,I$121,Lançamentos!$C:$C,$C132)</f>
        <v>0</v>
      </c>
      <c r="J132" s="112">
        <f>SUMIFS(Lançamentos!$E:$E,Lançamentos!$H:$H,J$121,Lançamentos!$C:$C,$C132)</f>
        <v>0</v>
      </c>
      <c r="K132" s="112">
        <f>SUMIFS(Lançamentos!$E:$E,Lançamentos!$H:$H,K$121,Lançamentos!$C:$C,$C132)</f>
        <v>0</v>
      </c>
      <c r="L132" s="112">
        <f>SUMIFS(Lançamentos!$E:$E,Lançamentos!$H:$H,L$121,Lançamentos!$C:$C,$C132)</f>
        <v>0</v>
      </c>
      <c r="M132" s="112">
        <f>SUMIFS(Lançamentos!$E:$E,Lançamentos!$H:$H,M$121,Lançamentos!$C:$C,$C132)</f>
        <v>0</v>
      </c>
      <c r="N132" s="112">
        <f>SUMIFS(Lançamentos!$E:$E,Lançamentos!$H:$H,N$121,Lançamentos!$C:$C,$C132)</f>
        <v>0</v>
      </c>
      <c r="O132" s="112">
        <f>SUMIFS(Lançamentos!$E:$E,Lançamentos!$H:$H,O$121,Lançamentos!$C:$C,$C132)</f>
        <v>0</v>
      </c>
      <c r="P132" s="112">
        <f>SUMIFS(Lançamentos!$E:$E,Lançamentos!$H:$H,P$121,Lançamentos!$C:$C,$C132)</f>
        <v>0</v>
      </c>
      <c r="Q132" s="46"/>
      <c r="R132" s="46"/>
      <c r="S132" s="46"/>
      <c r="T132" s="4"/>
    </row>
    <row r="133" spans="1:20" ht="16.2" outlineLevel="1">
      <c r="A133" s="44"/>
      <c r="B133" s="44"/>
      <c r="C133" s="138" t="s">
        <v>34</v>
      </c>
      <c r="D133" s="134"/>
      <c r="E133" s="115">
        <f>SUMIFS(Lançamentos!$E:$E,Lançamentos!$H:$H,E$121,Lançamentos!$C:$C,$C133)</f>
        <v>50</v>
      </c>
      <c r="F133" s="115">
        <f>SUMIFS(Lançamentos!$E:$E,Lançamentos!$H:$H,F$121,Lançamentos!$C:$C,$C133)</f>
        <v>170</v>
      </c>
      <c r="G133" s="115">
        <f>SUMIFS(Lançamentos!$E:$E,Lançamentos!$H:$H,G$121,Lançamentos!$C:$C,$C133)</f>
        <v>0</v>
      </c>
      <c r="H133" s="115">
        <f>SUMIFS(Lançamentos!$E:$E,Lançamentos!$H:$H,H$121,Lançamentos!$C:$C,$C133)</f>
        <v>0</v>
      </c>
      <c r="I133" s="115">
        <f>SUMIFS(Lançamentos!$E:$E,Lançamentos!$H:$H,I$121,Lançamentos!$C:$C,$C133)</f>
        <v>0</v>
      </c>
      <c r="J133" s="115">
        <f>SUMIFS(Lançamentos!$E:$E,Lançamentos!$H:$H,J$121,Lançamentos!$C:$C,$C133)</f>
        <v>0</v>
      </c>
      <c r="K133" s="115">
        <f>SUMIFS(Lançamentos!$E:$E,Lançamentos!$H:$H,K$121,Lançamentos!$C:$C,$C133)</f>
        <v>0</v>
      </c>
      <c r="L133" s="115">
        <f>SUMIFS(Lançamentos!$E:$E,Lançamentos!$H:$H,L$121,Lançamentos!$C:$C,$C133)</f>
        <v>0</v>
      </c>
      <c r="M133" s="115">
        <f>SUMIFS(Lançamentos!$E:$E,Lançamentos!$H:$H,M$121,Lançamentos!$C:$C,$C133)</f>
        <v>0</v>
      </c>
      <c r="N133" s="115">
        <f>SUMIFS(Lançamentos!$E:$E,Lançamentos!$H:$H,N$121,Lançamentos!$C:$C,$C133)</f>
        <v>0</v>
      </c>
      <c r="O133" s="115">
        <f>SUMIFS(Lançamentos!$E:$E,Lançamentos!$H:$H,O$121,Lançamentos!$C:$C,$C133)</f>
        <v>0</v>
      </c>
      <c r="P133" s="115">
        <f>SUMIFS(Lançamentos!$E:$E,Lançamentos!$H:$H,P$121,Lançamentos!$C:$C,$C133)</f>
        <v>0</v>
      </c>
      <c r="Q133" s="43"/>
      <c r="R133" s="43"/>
      <c r="S133" s="43"/>
      <c r="T133" s="4"/>
    </row>
    <row r="134" spans="1:20" ht="16.2" outlineLevel="1">
      <c r="A134" s="36"/>
      <c r="B134" s="36"/>
      <c r="C134" s="139"/>
      <c r="D134" s="134"/>
      <c r="E134" s="112">
        <f>SUMIFS(Lançamentos!$E:$E,Lançamentos!$H:$H,E$121,Lançamentos!$C:$C,$C134)</f>
        <v>0</v>
      </c>
      <c r="F134" s="112">
        <f>SUMIFS(Lançamentos!$E:$E,Lançamentos!$H:$H,F$121,Lançamentos!$C:$C,$C134)</f>
        <v>0</v>
      </c>
      <c r="G134" s="112">
        <f>SUMIFS(Lançamentos!$E:$E,Lançamentos!$H:$H,G$121,Lançamentos!$C:$C,$C134)</f>
        <v>0</v>
      </c>
      <c r="H134" s="112">
        <f>SUMIFS(Lançamentos!$E:$E,Lançamentos!$H:$H,H$121,Lançamentos!$C:$C,$C134)</f>
        <v>0</v>
      </c>
      <c r="I134" s="112">
        <f>SUMIFS(Lançamentos!$E:$E,Lançamentos!$H:$H,I$121,Lançamentos!$C:$C,$C134)</f>
        <v>0</v>
      </c>
      <c r="J134" s="112">
        <f>SUMIFS(Lançamentos!$E:$E,Lançamentos!$H:$H,J$121,Lançamentos!$C:$C,$C134)</f>
        <v>0</v>
      </c>
      <c r="K134" s="112">
        <f>SUMIFS(Lançamentos!$E:$E,Lançamentos!$H:$H,K$121,Lançamentos!$C:$C,$C134)</f>
        <v>0</v>
      </c>
      <c r="L134" s="112">
        <f>SUMIFS(Lançamentos!$E:$E,Lançamentos!$H:$H,L$121,Lançamentos!$C:$C,$C134)</f>
        <v>0</v>
      </c>
      <c r="M134" s="112">
        <f>SUMIFS(Lançamentos!$E:$E,Lançamentos!$H:$H,M$121,Lançamentos!$C:$C,$C134)</f>
        <v>0</v>
      </c>
      <c r="N134" s="112">
        <f>SUMIFS(Lançamentos!$E:$E,Lançamentos!$H:$H,N$121,Lançamentos!$C:$C,$C134)</f>
        <v>0</v>
      </c>
      <c r="O134" s="112">
        <f>SUMIFS(Lançamentos!$E:$E,Lançamentos!$H:$H,O$121,Lançamentos!$C:$C,$C134)</f>
        <v>0</v>
      </c>
      <c r="P134" s="112">
        <f>SUMIFS(Lançamentos!$E:$E,Lançamentos!$H:$H,P$121,Lançamentos!$C:$C,$C134)</f>
        <v>0</v>
      </c>
      <c r="Q134" s="46"/>
      <c r="R134" s="46"/>
      <c r="S134" s="46"/>
      <c r="T134" s="4"/>
    </row>
    <row r="135" spans="1:20" ht="16.2" outlineLevel="1">
      <c r="A135" s="44"/>
      <c r="B135" s="44"/>
      <c r="C135" s="138"/>
      <c r="D135" s="134"/>
      <c r="E135" s="115">
        <f>SUMIFS(Lançamentos!$E:$E,Lançamentos!$H:$H,E$121,Lançamentos!$C:$C,$C135)</f>
        <v>0</v>
      </c>
      <c r="F135" s="115">
        <f>SUMIFS(Lançamentos!$E:$E,Lançamentos!$H:$H,F$121,Lançamentos!$C:$C,$C135)</f>
        <v>0</v>
      </c>
      <c r="G135" s="115">
        <f>SUMIFS(Lançamentos!$E:$E,Lançamentos!$H:$H,G$121,Lançamentos!$C:$C,$C135)</f>
        <v>0</v>
      </c>
      <c r="H135" s="115">
        <f>SUMIFS(Lançamentos!$E:$E,Lançamentos!$H:$H,H$121,Lançamentos!$C:$C,$C135)</f>
        <v>0</v>
      </c>
      <c r="I135" s="115">
        <f>SUMIFS(Lançamentos!$E:$E,Lançamentos!$H:$H,I$121,Lançamentos!$C:$C,$C135)</f>
        <v>0</v>
      </c>
      <c r="J135" s="115">
        <f>SUMIFS(Lançamentos!$E:$E,Lançamentos!$H:$H,J$121,Lançamentos!$C:$C,$C135)</f>
        <v>0</v>
      </c>
      <c r="K135" s="115">
        <f>SUMIFS(Lançamentos!$E:$E,Lançamentos!$H:$H,K$121,Lançamentos!$C:$C,$C135)</f>
        <v>0</v>
      </c>
      <c r="L135" s="115">
        <f>SUMIFS(Lançamentos!$E:$E,Lançamentos!$H:$H,L$121,Lançamentos!$C:$C,$C135)</f>
        <v>0</v>
      </c>
      <c r="M135" s="115">
        <f>SUMIFS(Lançamentos!$E:$E,Lançamentos!$H:$H,M$121,Lançamentos!$C:$C,$C135)</f>
        <v>0</v>
      </c>
      <c r="N135" s="115">
        <f>SUMIFS(Lançamentos!$E:$E,Lançamentos!$H:$H,N$121,Lançamentos!$C:$C,$C135)</f>
        <v>0</v>
      </c>
      <c r="O135" s="115">
        <f>SUMIFS(Lançamentos!$E:$E,Lançamentos!$H:$H,O$121,Lançamentos!$C:$C,$C135)</f>
        <v>0</v>
      </c>
      <c r="P135" s="115">
        <f>SUMIFS(Lançamentos!$E:$E,Lançamentos!$H:$H,P$121,Lançamentos!$C:$C,$C135)</f>
        <v>0</v>
      </c>
      <c r="Q135" s="43"/>
      <c r="R135" s="43"/>
      <c r="S135" s="43"/>
      <c r="T135" s="4"/>
    </row>
    <row r="136" spans="1:20" ht="13.2">
      <c r="A136" s="36"/>
      <c r="B136" s="36"/>
      <c r="C136" s="142"/>
      <c r="D136" s="134"/>
      <c r="E136" s="112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4"/>
    </row>
  </sheetData>
  <autoFilter ref="B3:S100" xr:uid="{00000000-0009-0000-0000-000003000000}"/>
  <customSheetViews>
    <customSheetView guid="{3EA00490-07BF-4308-BF63-42ED36B752CC}" filter="1" showAutoFilter="1">
      <pageMargins left="0.511811024" right="0.511811024" top="0.78740157499999996" bottom="0.78740157499999996" header="0.31496062000000002" footer="0.31496062000000002"/>
      <autoFilter ref="A2:T100" xr:uid="{082D63C6-810B-47BE-A6EC-1A57852A5731}"/>
    </customSheetView>
    <customSheetView guid="{E64EA611-DF25-4070-8E94-D094A67D2B4A}" filter="1" showAutoFilter="1">
      <pageMargins left="0.511811024" right="0.511811024" top="0.78740157499999996" bottom="0.78740157499999996" header="0.31496062000000002" footer="0.31496062000000002"/>
      <autoFilter ref="A2:T100" xr:uid="{897C0A39-075D-4703-9B08-1137F51AD5CF}"/>
    </customSheetView>
  </customSheetViews>
  <mergeCells count="32">
    <mergeCell ref="C132:D132"/>
    <mergeCell ref="C133:D133"/>
    <mergeCell ref="C134:D134"/>
    <mergeCell ref="C135:D135"/>
    <mergeCell ref="C136:D136"/>
    <mergeCell ref="C130:D130"/>
    <mergeCell ref="A131:B131"/>
    <mergeCell ref="C131:D131"/>
    <mergeCell ref="Q131:R131"/>
    <mergeCell ref="S131:T131"/>
    <mergeCell ref="C116:D116"/>
    <mergeCell ref="C117:D117"/>
    <mergeCell ref="C118:D118"/>
    <mergeCell ref="C119:D119"/>
    <mergeCell ref="C129:D129"/>
    <mergeCell ref="C120:D120"/>
    <mergeCell ref="C123:D123"/>
    <mergeCell ref="C124:D124"/>
    <mergeCell ref="C125:D125"/>
    <mergeCell ref="C126:D126"/>
    <mergeCell ref="C127:D127"/>
    <mergeCell ref="C128:D128"/>
    <mergeCell ref="C109:D109"/>
    <mergeCell ref="C111:D111"/>
    <mergeCell ref="C112:D112"/>
    <mergeCell ref="C114:D114"/>
    <mergeCell ref="C115:D115"/>
    <mergeCell ref="A1:C1"/>
    <mergeCell ref="C105:D105"/>
    <mergeCell ref="C106:D106"/>
    <mergeCell ref="C107:D107"/>
    <mergeCell ref="C108:D108"/>
  </mergeCells>
  <conditionalFormatting sqref="E4:P100">
    <cfRule type="cellIs" dxfId="4" priority="1" operator="lessThan">
      <formula>20</formula>
    </cfRule>
  </conditionalFormatting>
  <conditionalFormatting sqref="E4:P100">
    <cfRule type="cellIs" dxfId="3" priority="2" operator="greaterThanOrEqual">
      <formula>20</formula>
    </cfRule>
  </conditionalFormatting>
  <conditionalFormatting sqref="C14:D14">
    <cfRule type="expression" dxfId="2" priority="3">
      <formula>"b14&lt;&gt;"""</formula>
    </cfRule>
  </conditionalFormatting>
  <conditionalFormatting sqref="E4:P100">
    <cfRule type="cellIs" dxfId="1" priority="4" operator="equal">
      <formula>"PG"</formula>
    </cfRule>
  </conditionalFormatting>
  <conditionalFormatting sqref="R4:R100">
    <cfRule type="colorScale" priority="5">
      <colorScale>
        <cfvo type="formula" val="-12"/>
        <cfvo type="formula" val="0"/>
        <cfvo type="formula" val="12"/>
        <color rgb="FFE06666"/>
        <color rgb="FFFFFFFF"/>
        <color rgb="FF00FF00"/>
      </colorScale>
    </cfRule>
  </conditionalFormatting>
  <conditionalFormatting sqref="A4:T100">
    <cfRule type="expression" dxfId="0" priority="6">
      <formula>$B4=TRUE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H1504"/>
  <sheetViews>
    <sheetView showGridLines="0" workbookViewId="0"/>
  </sheetViews>
  <sheetFormatPr defaultColWidth="12.6640625" defaultRowHeight="15.75" customHeight="1"/>
  <cols>
    <col min="1" max="1" width="3.109375" customWidth="1"/>
    <col min="2" max="2" width="50.109375" customWidth="1"/>
    <col min="3" max="3" width="23.44140625" customWidth="1"/>
    <col min="4" max="4" width="16.44140625" customWidth="1"/>
    <col min="7" max="7" width="6.77734375" customWidth="1"/>
    <col min="9" max="9" width="3.6640625" customWidth="1"/>
  </cols>
  <sheetData>
    <row r="1" spans="2:8">
      <c r="B1" s="9" t="s">
        <v>19</v>
      </c>
      <c r="C1" s="9" t="s">
        <v>20</v>
      </c>
      <c r="D1" s="9" t="s">
        <v>21</v>
      </c>
      <c r="E1" s="11" t="s">
        <v>15</v>
      </c>
      <c r="F1" s="9" t="s">
        <v>22</v>
      </c>
      <c r="G1" s="9" t="s">
        <v>23</v>
      </c>
      <c r="H1" s="9" t="s">
        <v>23</v>
      </c>
    </row>
    <row r="2" spans="2:8">
      <c r="B2" s="12" t="s">
        <v>24</v>
      </c>
      <c r="C2" s="16" t="s">
        <v>27</v>
      </c>
      <c r="D2" s="18"/>
      <c r="E2" s="19">
        <v>35</v>
      </c>
      <c r="F2" s="21">
        <v>46042</v>
      </c>
      <c r="G2" s="22">
        <f t="shared" ref="G2:G993" si="0">IF(F2="","",MONTH(F2))</f>
        <v>1</v>
      </c>
      <c r="H2" s="22" t="str">
        <f t="array" ref="H2">IF(F2="","",INDEX(Cripto!$A$1:$A$12,G2))</f>
        <v>Janeiro</v>
      </c>
    </row>
    <row r="3" spans="2:8">
      <c r="B3" s="25" t="s">
        <v>33</v>
      </c>
      <c r="C3" s="16" t="s">
        <v>34</v>
      </c>
      <c r="D3" s="18"/>
      <c r="E3" s="26">
        <v>50</v>
      </c>
      <c r="F3" s="27">
        <v>46048</v>
      </c>
      <c r="G3" s="28">
        <f t="shared" si="0"/>
        <v>1</v>
      </c>
      <c r="H3" s="28" t="str">
        <f t="array" ref="H3">IF(F3="","",INDEX(Cripto!$A$1:$A$12,G3))</f>
        <v>Janeiro</v>
      </c>
    </row>
    <row r="4" spans="2:8">
      <c r="B4" s="12" t="s">
        <v>35</v>
      </c>
      <c r="C4" s="16" t="s">
        <v>27</v>
      </c>
      <c r="D4" s="18"/>
      <c r="E4" s="19">
        <v>0.17</v>
      </c>
      <c r="F4" s="21">
        <v>46053</v>
      </c>
      <c r="G4" s="22">
        <f t="shared" si="0"/>
        <v>1</v>
      </c>
      <c r="H4" s="22" t="str">
        <f t="array" ref="H4">IF(F4="","",INDEX(Cripto!$A$1:$A$12,G4))</f>
        <v>Janeiro</v>
      </c>
    </row>
    <row r="5" spans="2:8">
      <c r="B5" s="25" t="s">
        <v>37</v>
      </c>
      <c r="C5" s="16"/>
      <c r="D5" s="18" t="s">
        <v>38</v>
      </c>
      <c r="E5" s="26">
        <f>0.3+0.1</f>
        <v>0.4</v>
      </c>
      <c r="F5" s="27">
        <v>46053</v>
      </c>
      <c r="G5" s="28">
        <f t="shared" si="0"/>
        <v>1</v>
      </c>
      <c r="H5" s="28" t="str">
        <f t="array" ref="H5">IF(F5="","",INDEX(Cripto!$A$1:$A$12,G5))</f>
        <v>Janeiro</v>
      </c>
    </row>
    <row r="6" spans="2:8">
      <c r="B6" s="12" t="s">
        <v>39</v>
      </c>
      <c r="C6" s="16" t="s">
        <v>34</v>
      </c>
      <c r="D6" s="18"/>
      <c r="E6" s="19">
        <v>170</v>
      </c>
      <c r="F6" s="21">
        <v>46062</v>
      </c>
      <c r="G6" s="22">
        <f t="shared" si="0"/>
        <v>2</v>
      </c>
      <c r="H6" s="22" t="str">
        <f t="array" ref="H6">IF(F6="","",INDEX(Cripto!$A$1:$A$12,G6))</f>
        <v>Fevereiro</v>
      </c>
    </row>
    <row r="7" spans="2:8">
      <c r="B7" s="25" t="s">
        <v>41</v>
      </c>
      <c r="C7" s="16" t="s">
        <v>42</v>
      </c>
      <c r="D7" s="18"/>
      <c r="E7" s="26">
        <v>47.61</v>
      </c>
      <c r="F7" s="27">
        <v>46073</v>
      </c>
      <c r="G7" s="28">
        <f t="shared" si="0"/>
        <v>2</v>
      </c>
      <c r="H7" s="28" t="str">
        <f t="array" ref="H7">IF(F7="","",INDEX(Cripto!$A$1:$A$12,G7))</f>
        <v>Fevereiro</v>
      </c>
    </row>
    <row r="8" spans="2:8">
      <c r="B8" s="12" t="s">
        <v>24</v>
      </c>
      <c r="C8" s="16" t="s">
        <v>27</v>
      </c>
      <c r="D8" s="18"/>
      <c r="E8" s="19">
        <v>35</v>
      </c>
      <c r="F8" s="21">
        <v>46073</v>
      </c>
      <c r="G8" s="22">
        <f t="shared" si="0"/>
        <v>2</v>
      </c>
      <c r="H8" s="22" t="str">
        <f t="array" ref="H8">IF(F8="","",INDEX(Cripto!$A$1:$A$12,G8))</f>
        <v>Fevereiro</v>
      </c>
    </row>
    <row r="9" spans="2:8">
      <c r="B9" s="25" t="s">
        <v>45</v>
      </c>
      <c r="C9" s="16" t="s">
        <v>42</v>
      </c>
      <c r="D9" s="18"/>
      <c r="E9" s="26">
        <v>1945</v>
      </c>
      <c r="F9" s="27">
        <v>46076</v>
      </c>
      <c r="G9" s="28">
        <f t="shared" si="0"/>
        <v>2</v>
      </c>
      <c r="H9" s="28" t="str">
        <f t="array" ref="H9">IF(F9="","",INDEX(Cripto!$A$1:$A$12,G9))</f>
        <v>Fevereiro</v>
      </c>
    </row>
    <row r="10" spans="2:8">
      <c r="B10" s="12" t="s">
        <v>46</v>
      </c>
      <c r="C10" s="16" t="s">
        <v>42</v>
      </c>
      <c r="D10" s="18"/>
      <c r="E10" s="19">
        <v>775.8</v>
      </c>
      <c r="F10" s="21">
        <v>46076</v>
      </c>
      <c r="G10" s="22">
        <f t="shared" si="0"/>
        <v>2</v>
      </c>
      <c r="H10" s="22" t="str">
        <f t="array" ref="H10">IF(F10="","",INDEX(Cripto!$A$1:$A$12,G10))</f>
        <v>Fevereiro</v>
      </c>
    </row>
    <row r="11" spans="2:8">
      <c r="B11" s="25" t="s">
        <v>35</v>
      </c>
      <c r="C11" s="16" t="s">
        <v>27</v>
      </c>
      <c r="D11" s="18"/>
      <c r="E11" s="26">
        <v>0.17</v>
      </c>
      <c r="F11" s="27">
        <v>46081</v>
      </c>
      <c r="G11" s="28">
        <f t="shared" si="0"/>
        <v>2</v>
      </c>
      <c r="H11" s="28" t="str">
        <f t="array" ref="H11">IF(F11="","",INDEX(Cripto!$A$1:$A$12,G11))</f>
        <v>Fevereiro</v>
      </c>
    </row>
    <row r="12" spans="2:8">
      <c r="B12" s="12" t="s">
        <v>37</v>
      </c>
      <c r="C12" s="16"/>
      <c r="D12" s="18" t="s">
        <v>38</v>
      </c>
      <c r="E12" s="19">
        <f>SUM(0.14+0.4)</f>
        <v>0.54</v>
      </c>
      <c r="F12" s="21">
        <v>46081</v>
      </c>
      <c r="G12" s="22">
        <f t="shared" si="0"/>
        <v>2</v>
      </c>
      <c r="H12" s="22" t="str">
        <f t="array" ref="H12">IF(F12="","",INDEX(Cripto!$A$1:$A$12,G12))</f>
        <v>Fevereiro</v>
      </c>
    </row>
    <row r="13" spans="2:8">
      <c r="B13" s="25" t="s">
        <v>49</v>
      </c>
      <c r="C13" s="16" t="s">
        <v>42</v>
      </c>
      <c r="D13" s="18"/>
      <c r="E13" s="26">
        <v>800</v>
      </c>
      <c r="F13" s="27">
        <v>46093</v>
      </c>
      <c r="G13" s="28">
        <f t="shared" si="0"/>
        <v>3</v>
      </c>
      <c r="H13" s="28" t="str">
        <f t="array" ref="H13">IF(F13="","",INDEX(Cripto!$A$1:$A$12,G13))</f>
        <v>Março</v>
      </c>
    </row>
    <row r="14" spans="2:8">
      <c r="B14" s="12" t="s">
        <v>24</v>
      </c>
      <c r="C14" s="16" t="s">
        <v>27</v>
      </c>
      <c r="D14" s="18"/>
      <c r="E14" s="19">
        <v>35</v>
      </c>
      <c r="F14" s="21">
        <v>46101</v>
      </c>
      <c r="G14" s="22">
        <f t="shared" si="0"/>
        <v>3</v>
      </c>
      <c r="H14" s="22" t="str">
        <f t="array" ref="H14">IF(F14="","",INDEX(Cripto!$A$1:$A$12,G14))</f>
        <v>Março</v>
      </c>
    </row>
    <row r="15" spans="2:8">
      <c r="B15" s="25" t="s">
        <v>35</v>
      </c>
      <c r="C15" s="16" t="s">
        <v>27</v>
      </c>
      <c r="D15" s="18"/>
      <c r="E15" s="26">
        <v>0.88</v>
      </c>
      <c r="F15" s="27">
        <v>46111</v>
      </c>
      <c r="G15" s="28">
        <f t="shared" si="0"/>
        <v>3</v>
      </c>
      <c r="H15" s="28" t="str">
        <f t="array" ref="H15">IF(F15="","",INDEX(Cripto!$A$1:$A$12,G15))</f>
        <v>Março</v>
      </c>
    </row>
    <row r="16" spans="2:8">
      <c r="B16" s="12" t="s">
        <v>37</v>
      </c>
      <c r="C16" s="16"/>
      <c r="D16" s="18" t="s">
        <v>38</v>
      </c>
      <c r="E16" s="19">
        <v>0.62</v>
      </c>
      <c r="F16" s="21">
        <v>46111</v>
      </c>
      <c r="G16" s="22">
        <f t="shared" si="0"/>
        <v>3</v>
      </c>
      <c r="H16" s="22" t="str">
        <f t="array" ref="H16">IF(F16="","",INDEX(Cripto!$A$1:$A$12,G16))</f>
        <v>Março</v>
      </c>
    </row>
    <row r="17" spans="2:8">
      <c r="B17" s="25" t="s">
        <v>52</v>
      </c>
      <c r="C17" s="16" t="s">
        <v>54</v>
      </c>
      <c r="D17" s="18"/>
      <c r="E17" s="26">
        <v>240</v>
      </c>
      <c r="F17" s="27">
        <v>46125</v>
      </c>
      <c r="G17" s="28">
        <f t="shared" si="0"/>
        <v>4</v>
      </c>
      <c r="H17" s="28" t="str">
        <f t="array" ref="H17">IF(F17="","",INDEX(Cripto!$A$1:$A$12,G17))</f>
        <v>Abril</v>
      </c>
    </row>
    <row r="18" spans="2:8">
      <c r="B18" s="12" t="s">
        <v>55</v>
      </c>
      <c r="C18" s="16" t="s">
        <v>54</v>
      </c>
      <c r="D18" s="18"/>
      <c r="E18" s="19">
        <v>132.08000000000001</v>
      </c>
      <c r="F18" s="21">
        <v>46125</v>
      </c>
      <c r="G18" s="22">
        <f t="shared" si="0"/>
        <v>4</v>
      </c>
      <c r="H18" s="22" t="str">
        <f t="array" ref="H18">IF(F18="","",INDEX(Cripto!$A$1:$A$12,G18))</f>
        <v>Abril</v>
      </c>
    </row>
    <row r="19" spans="2:8">
      <c r="B19" s="25" t="s">
        <v>24</v>
      </c>
      <c r="C19" s="16" t="s">
        <v>27</v>
      </c>
      <c r="D19" s="18"/>
      <c r="E19" s="26">
        <v>35</v>
      </c>
      <c r="F19" s="27">
        <v>46132</v>
      </c>
      <c r="G19" s="28">
        <f t="shared" si="0"/>
        <v>4</v>
      </c>
      <c r="H19" s="28" t="str">
        <f t="array" ref="H19">IF(F19="","",INDEX(Cripto!$A$1:$A$12,G19))</f>
        <v>Abril</v>
      </c>
    </row>
    <row r="20" spans="2:8">
      <c r="B20" s="12" t="s">
        <v>58</v>
      </c>
      <c r="C20" s="16" t="s">
        <v>59</v>
      </c>
      <c r="D20" s="18"/>
      <c r="E20" s="19">
        <v>193.67</v>
      </c>
      <c r="F20" s="21">
        <v>46136</v>
      </c>
      <c r="G20" s="22">
        <f t="shared" si="0"/>
        <v>4</v>
      </c>
      <c r="H20" s="22" t="str">
        <f t="array" ref="H20">IF(F20="","",INDEX(Cripto!$A$1:$A$12,G20))</f>
        <v>Abril</v>
      </c>
    </row>
    <row r="21" spans="2:8">
      <c r="B21" s="25" t="s">
        <v>37</v>
      </c>
      <c r="C21" s="16"/>
      <c r="D21" s="18" t="s">
        <v>38</v>
      </c>
      <c r="E21" s="26">
        <v>1.34</v>
      </c>
      <c r="F21" s="27">
        <v>46142</v>
      </c>
      <c r="G21" s="28">
        <f t="shared" si="0"/>
        <v>4</v>
      </c>
      <c r="H21" s="28" t="str">
        <f t="array" ref="H21">IF(F21="","",INDEX(Cripto!$A$1:$A$12,G21))</f>
        <v>Abril</v>
      </c>
    </row>
    <row r="22" spans="2:8">
      <c r="B22" s="12" t="s">
        <v>24</v>
      </c>
      <c r="C22" s="16" t="s">
        <v>27</v>
      </c>
      <c r="D22" s="18"/>
      <c r="E22" s="19">
        <v>35</v>
      </c>
      <c r="F22" s="21">
        <v>46162</v>
      </c>
      <c r="G22" s="22">
        <f t="shared" si="0"/>
        <v>5</v>
      </c>
      <c r="H22" s="22" t="str">
        <f t="array" ref="H22">IF(F22="","",INDEX(Cripto!$A$1:$A$12,G22))</f>
        <v>Maio</v>
      </c>
    </row>
    <row r="23" spans="2:8">
      <c r="B23" s="25" t="s">
        <v>62</v>
      </c>
      <c r="C23" s="16"/>
      <c r="D23" s="18" t="s">
        <v>38</v>
      </c>
      <c r="E23" s="26">
        <v>11.31</v>
      </c>
      <c r="F23" s="27">
        <v>46146</v>
      </c>
      <c r="G23" s="28">
        <f t="shared" si="0"/>
        <v>5</v>
      </c>
      <c r="H23" s="28" t="str">
        <f t="array" ref="H23">IF(F23="","",INDEX(Cripto!$A$1:$A$12,G23))</f>
        <v>Maio</v>
      </c>
    </row>
    <row r="24" spans="2:8">
      <c r="B24" s="12" t="s">
        <v>37</v>
      </c>
      <c r="C24" s="16"/>
      <c r="D24" s="18" t="s">
        <v>38</v>
      </c>
      <c r="E24" s="19">
        <f>0.1+0.02+0.1+0.03+0.41+0.14+0.4+0.08</f>
        <v>1.28</v>
      </c>
      <c r="F24" s="21">
        <v>46173</v>
      </c>
      <c r="G24" s="22">
        <f t="shared" si="0"/>
        <v>5</v>
      </c>
      <c r="H24" s="22" t="str">
        <f t="array" ref="H24">IF(F24="","",INDEX(Cripto!$A$1:$A$12,G24))</f>
        <v>Maio</v>
      </c>
    </row>
    <row r="25" spans="2:8">
      <c r="B25" s="25" t="s">
        <v>63</v>
      </c>
      <c r="C25" s="16"/>
      <c r="D25" s="18" t="s">
        <v>38</v>
      </c>
      <c r="E25" s="26">
        <v>25</v>
      </c>
      <c r="F25" s="27">
        <v>46184</v>
      </c>
      <c r="G25" s="28">
        <f t="shared" si="0"/>
        <v>6</v>
      </c>
      <c r="H25" s="28" t="str">
        <f t="array" ref="H25">IF(F25="","",INDEX(Cripto!$A$1:$A$12,G25))</f>
        <v>Junho</v>
      </c>
    </row>
    <row r="26" spans="2:8">
      <c r="B26" s="12" t="s">
        <v>64</v>
      </c>
      <c r="C26" s="16" t="s">
        <v>59</v>
      </c>
      <c r="D26" s="18"/>
      <c r="E26" s="19">
        <v>440.66</v>
      </c>
      <c r="F26" s="21">
        <v>46184</v>
      </c>
      <c r="G26" s="22">
        <f t="shared" si="0"/>
        <v>6</v>
      </c>
      <c r="H26" s="22" t="str">
        <f t="array" ref="H26">IF(F26="","",INDEX(Cripto!$A$1:$A$12,G26))</f>
        <v>Junho</v>
      </c>
    </row>
    <row r="27" spans="2:8">
      <c r="B27" s="25" t="s">
        <v>65</v>
      </c>
      <c r="C27" s="16" t="s">
        <v>59</v>
      </c>
      <c r="D27" s="18"/>
      <c r="E27" s="26">
        <v>184</v>
      </c>
      <c r="F27" s="27">
        <v>46184</v>
      </c>
      <c r="G27" s="28">
        <f t="shared" si="0"/>
        <v>6</v>
      </c>
      <c r="H27" s="28" t="str">
        <f t="array" ref="H27">IF(F27="","",INDEX(Cripto!$A$1:$A$12,G27))</f>
        <v>Junho</v>
      </c>
    </row>
    <row r="28" spans="2:8">
      <c r="B28" s="12" t="s">
        <v>66</v>
      </c>
      <c r="C28" s="16"/>
      <c r="D28" s="18" t="s">
        <v>38</v>
      </c>
      <c r="E28" s="19">
        <v>25</v>
      </c>
      <c r="F28" s="21">
        <v>46188</v>
      </c>
      <c r="G28" s="22">
        <f t="shared" si="0"/>
        <v>6</v>
      </c>
      <c r="H28" s="22" t="str">
        <f t="array" ref="H28">IF(F28="","",INDEX(Cripto!$A$1:$A$12,G28))</f>
        <v>Junho</v>
      </c>
    </row>
    <row r="29" spans="2:8">
      <c r="B29" s="25" t="s">
        <v>67</v>
      </c>
      <c r="C29" s="16"/>
      <c r="D29" s="18" t="s">
        <v>38</v>
      </c>
      <c r="E29" s="26">
        <v>25</v>
      </c>
      <c r="F29" s="27">
        <v>46190</v>
      </c>
      <c r="G29" s="28">
        <f t="shared" si="0"/>
        <v>6</v>
      </c>
      <c r="H29" s="28" t="str">
        <f t="array" ref="H29">IF(F29="","",INDEX(Cripto!$A$1:$A$12,G29))</f>
        <v>Junho</v>
      </c>
    </row>
    <row r="30" spans="2:8">
      <c r="B30" s="12" t="s">
        <v>68</v>
      </c>
      <c r="C30" s="16" t="s">
        <v>69</v>
      </c>
      <c r="D30" s="18"/>
      <c r="E30" s="19">
        <v>80.849999999999994</v>
      </c>
      <c r="F30" s="21">
        <v>46191</v>
      </c>
      <c r="G30" s="22">
        <f t="shared" si="0"/>
        <v>6</v>
      </c>
      <c r="H30" s="22" t="str">
        <f t="array" ref="H30">IF(F30="","",INDEX(Cripto!$A$1:$A$12,G30))</f>
        <v>Junho</v>
      </c>
    </row>
    <row r="31" spans="2:8">
      <c r="B31" s="25" t="s">
        <v>70</v>
      </c>
      <c r="C31" s="16" t="s">
        <v>69</v>
      </c>
      <c r="D31" s="18"/>
      <c r="E31" s="26">
        <v>248.35</v>
      </c>
      <c r="F31" s="27">
        <v>46195</v>
      </c>
      <c r="G31" s="28">
        <f t="shared" si="0"/>
        <v>6</v>
      </c>
      <c r="H31" s="28" t="str">
        <f t="array" ref="H31">IF(F31="","",INDEX(Cripto!$A$1:$A$12,G31))</f>
        <v>Junho</v>
      </c>
    </row>
    <row r="32" spans="2:8">
      <c r="B32" s="12" t="s">
        <v>71</v>
      </c>
      <c r="C32" s="16" t="s">
        <v>69</v>
      </c>
      <c r="D32" s="18"/>
      <c r="E32" s="19">
        <v>35.659999999999997</v>
      </c>
      <c r="F32" s="21">
        <v>46195</v>
      </c>
      <c r="G32" s="22">
        <f t="shared" si="0"/>
        <v>6</v>
      </c>
      <c r="H32" s="22" t="str">
        <f t="array" ref="H32">IF(F32="","",INDEX(Cripto!$A$1:$A$12,G32))</f>
        <v>Junho</v>
      </c>
    </row>
    <row r="33" spans="2:8">
      <c r="B33" s="25" t="s">
        <v>24</v>
      </c>
      <c r="C33" s="16" t="s">
        <v>27</v>
      </c>
      <c r="D33" s="18"/>
      <c r="E33" s="26">
        <v>35</v>
      </c>
      <c r="F33" s="27">
        <v>46195</v>
      </c>
      <c r="G33" s="28">
        <f t="shared" si="0"/>
        <v>6</v>
      </c>
      <c r="H33" s="28" t="str">
        <f t="array" ref="H33">IF(F33="","",INDEX(Cripto!$A$1:$A$12,G33))</f>
        <v>Junho</v>
      </c>
    </row>
    <row r="34" spans="2:8">
      <c r="B34" s="12" t="s">
        <v>73</v>
      </c>
      <c r="C34" s="16" t="s">
        <v>69</v>
      </c>
      <c r="D34" s="18"/>
      <c r="E34" s="19">
        <v>36</v>
      </c>
      <c r="F34" s="21">
        <v>46196</v>
      </c>
      <c r="G34" s="22">
        <f t="shared" si="0"/>
        <v>6</v>
      </c>
      <c r="H34" s="22" t="str">
        <f t="array" ref="H34">IF(F34="","",INDEX(Cripto!$A$1:$A$12,G34))</f>
        <v>Junho</v>
      </c>
    </row>
    <row r="35" spans="2:8">
      <c r="B35" s="25" t="s">
        <v>74</v>
      </c>
      <c r="C35" s="16"/>
      <c r="D35" s="18" t="s">
        <v>38</v>
      </c>
      <c r="E35" s="26">
        <v>25</v>
      </c>
      <c r="F35" s="27">
        <v>46197</v>
      </c>
      <c r="G35" s="28">
        <f t="shared" si="0"/>
        <v>6</v>
      </c>
      <c r="H35" s="28" t="str">
        <f t="array" ref="H35">IF(F35="","",INDEX(Cripto!$A$1:$A$12,G35))</f>
        <v>Junho</v>
      </c>
    </row>
    <row r="36" spans="2:8">
      <c r="B36" s="12" t="s">
        <v>35</v>
      </c>
      <c r="C36" s="16" t="s">
        <v>27</v>
      </c>
      <c r="D36" s="18"/>
      <c r="E36" s="19">
        <v>0.71</v>
      </c>
      <c r="F36" s="21">
        <v>46203</v>
      </c>
      <c r="G36" s="22">
        <f t="shared" si="0"/>
        <v>6</v>
      </c>
      <c r="H36" s="22" t="str">
        <f t="array" ref="H36">IF(F36="","",INDEX(Cripto!$A$1:$A$12,G36))</f>
        <v>Junho</v>
      </c>
    </row>
    <row r="37" spans="2:8">
      <c r="B37" s="25" t="s">
        <v>37</v>
      </c>
      <c r="C37" s="16"/>
      <c r="D37" s="18" t="s">
        <v>38</v>
      </c>
      <c r="E37" s="26">
        <f>(0.1+0.03+0.1+0.03+0.41+0.14+0.4+0.14)</f>
        <v>1.35</v>
      </c>
      <c r="F37" s="27">
        <v>46203</v>
      </c>
      <c r="G37" s="28">
        <f t="shared" si="0"/>
        <v>6</v>
      </c>
      <c r="H37" s="28" t="str">
        <f t="array" ref="H37">IF(F37="","",INDEX(Cripto!$A$1:$A$12,G37))</f>
        <v>Junho</v>
      </c>
    </row>
    <row r="38" spans="2:8">
      <c r="B38" s="12" t="s">
        <v>77</v>
      </c>
      <c r="C38" s="16" t="s">
        <v>54</v>
      </c>
      <c r="D38" s="18"/>
      <c r="E38" s="19">
        <v>384</v>
      </c>
      <c r="F38" s="21">
        <v>46220</v>
      </c>
      <c r="G38" s="22">
        <f t="shared" si="0"/>
        <v>7</v>
      </c>
      <c r="H38" s="22" t="str">
        <f t="array" ref="H38">IF(F38="","",INDEX(Cripto!$A$1:$A$12,G38))</f>
        <v>Julho</v>
      </c>
    </row>
    <row r="39" spans="2:8">
      <c r="B39" s="25" t="s">
        <v>79</v>
      </c>
      <c r="C39" s="16" t="s">
        <v>27</v>
      </c>
      <c r="D39" s="18"/>
      <c r="E39" s="26">
        <v>35</v>
      </c>
      <c r="F39" s="27">
        <v>46223</v>
      </c>
      <c r="G39" s="28">
        <f t="shared" si="0"/>
        <v>7</v>
      </c>
      <c r="H39" s="28" t="str">
        <f t="array" ref="H39">IF(F39="","",INDEX(Cripto!$A$1:$A$12,G39))</f>
        <v>Julho</v>
      </c>
    </row>
    <row r="40" spans="2:8">
      <c r="B40" s="12" t="s">
        <v>80</v>
      </c>
      <c r="C40" s="16" t="s">
        <v>54</v>
      </c>
      <c r="D40" s="18"/>
      <c r="E40" s="19">
        <v>38.880000000000003</v>
      </c>
      <c r="F40" s="21">
        <v>46225</v>
      </c>
      <c r="G40" s="22">
        <f t="shared" si="0"/>
        <v>7</v>
      </c>
      <c r="H40" s="22" t="str">
        <f t="array" ref="H40">IF(F40="","",INDEX(Cripto!$A$1:$A$12,G40))</f>
        <v>Julho</v>
      </c>
    </row>
    <row r="41" spans="2:8">
      <c r="B41" s="25" t="s">
        <v>82</v>
      </c>
      <c r="C41" s="16" t="s">
        <v>54</v>
      </c>
      <c r="D41" s="18"/>
      <c r="E41" s="26">
        <v>19.93</v>
      </c>
      <c r="F41" s="27">
        <v>46230</v>
      </c>
      <c r="G41" s="28">
        <f t="shared" si="0"/>
        <v>7</v>
      </c>
      <c r="H41" s="28" t="str">
        <f t="array" ref="H41">IF(F41="","",INDEX(Cripto!$A$1:$A$12,G41))</f>
        <v>Julho</v>
      </c>
    </row>
    <row r="42" spans="2:8">
      <c r="B42" s="12" t="s">
        <v>37</v>
      </c>
      <c r="C42" s="16"/>
      <c r="D42" s="18" t="s">
        <v>38</v>
      </c>
      <c r="E42" s="19">
        <v>1.35</v>
      </c>
      <c r="F42" s="21">
        <v>46234</v>
      </c>
      <c r="G42" s="22">
        <f t="shared" si="0"/>
        <v>7</v>
      </c>
      <c r="H42" s="22" t="str">
        <f t="array" ref="H42">IF(F42="","",INDEX(Cripto!$A$1:$A$12,G42))</f>
        <v>Julho</v>
      </c>
    </row>
    <row r="43" spans="2:8">
      <c r="B43" s="25"/>
      <c r="C43" s="16"/>
      <c r="D43" s="18"/>
      <c r="E43" s="26"/>
      <c r="F43" s="27"/>
      <c r="G43" s="28" t="str">
        <f t="shared" si="0"/>
        <v/>
      </c>
      <c r="H43" s="28" t="str">
        <f t="array" ref="H43">IF(F43="","",INDEX(Cripto!$A$1:$A$12,G43))</f>
        <v/>
      </c>
    </row>
    <row r="44" spans="2:8">
      <c r="B44" s="12"/>
      <c r="C44" s="16"/>
      <c r="D44" s="18"/>
      <c r="E44" s="19"/>
      <c r="F44" s="21"/>
      <c r="G44" s="22" t="str">
        <f t="shared" si="0"/>
        <v/>
      </c>
      <c r="H44" s="22" t="str">
        <f t="array" ref="H44">IF(F44="","",INDEX(Cripto!$A$1:$A$12,G44))</f>
        <v/>
      </c>
    </row>
    <row r="45" spans="2:8">
      <c r="B45" s="25"/>
      <c r="C45" s="16"/>
      <c r="D45" s="18"/>
      <c r="E45" s="26"/>
      <c r="F45" s="27"/>
      <c r="G45" s="28" t="str">
        <f t="shared" si="0"/>
        <v/>
      </c>
      <c r="H45" s="28" t="str">
        <f t="array" ref="H45">IF(F45="","",INDEX(Cripto!$A$1:$A$12,G45))</f>
        <v/>
      </c>
    </row>
    <row r="46" spans="2:8">
      <c r="B46" s="12"/>
      <c r="C46" s="16"/>
      <c r="D46" s="18"/>
      <c r="E46" s="19"/>
      <c r="F46" s="21"/>
      <c r="G46" s="22" t="str">
        <f t="shared" si="0"/>
        <v/>
      </c>
      <c r="H46" s="22" t="str">
        <f t="array" ref="H46">IF(F46="","",INDEX(Cripto!$A$1:$A$12,G46))</f>
        <v/>
      </c>
    </row>
    <row r="47" spans="2:8">
      <c r="B47" s="25"/>
      <c r="C47" s="16"/>
      <c r="D47" s="18"/>
      <c r="E47" s="26"/>
      <c r="F47" s="27"/>
      <c r="G47" s="28" t="str">
        <f t="shared" si="0"/>
        <v/>
      </c>
      <c r="H47" s="28" t="str">
        <f t="array" ref="H47">IF(F47="","",INDEX(Cripto!$A$1:$A$12,G47))</f>
        <v/>
      </c>
    </row>
    <row r="48" spans="2:8">
      <c r="B48" s="12"/>
      <c r="C48" s="16"/>
      <c r="D48" s="18"/>
      <c r="E48" s="19"/>
      <c r="F48" s="21"/>
      <c r="G48" s="22" t="str">
        <f t="shared" si="0"/>
        <v/>
      </c>
      <c r="H48" s="22" t="str">
        <f t="array" ref="H48">IF(F48="","",INDEX(Cripto!$A$1:$A$12,G48))</f>
        <v/>
      </c>
    </row>
    <row r="49" spans="2:8">
      <c r="B49" s="25"/>
      <c r="C49" s="16"/>
      <c r="D49" s="18"/>
      <c r="E49" s="26"/>
      <c r="F49" s="27"/>
      <c r="G49" s="28" t="str">
        <f t="shared" si="0"/>
        <v/>
      </c>
      <c r="H49" s="28" t="str">
        <f t="array" ref="H49">IF(F49="","",INDEX(Cripto!$A$1:$A$12,G49))</f>
        <v/>
      </c>
    </row>
    <row r="50" spans="2:8">
      <c r="B50" s="12"/>
      <c r="C50" s="16"/>
      <c r="D50" s="18"/>
      <c r="E50" s="19"/>
      <c r="F50" s="21"/>
      <c r="G50" s="22" t="str">
        <f t="shared" si="0"/>
        <v/>
      </c>
      <c r="H50" s="22" t="str">
        <f t="array" ref="H50">IF(F50="","",INDEX(Cripto!$A$1:$A$12,G50))</f>
        <v/>
      </c>
    </row>
    <row r="51" spans="2:8">
      <c r="B51" s="25"/>
      <c r="C51" s="16"/>
      <c r="D51" s="18"/>
      <c r="E51" s="26"/>
      <c r="F51" s="27"/>
      <c r="G51" s="28" t="str">
        <f t="shared" si="0"/>
        <v/>
      </c>
      <c r="H51" s="28" t="str">
        <f t="array" ref="H51">IF(F51="","",INDEX(Cripto!$A$1:$A$12,G51))</f>
        <v/>
      </c>
    </row>
    <row r="52" spans="2:8">
      <c r="B52" s="12"/>
      <c r="C52" s="16"/>
      <c r="D52" s="18"/>
      <c r="E52" s="19"/>
      <c r="F52" s="21"/>
      <c r="G52" s="22" t="str">
        <f t="shared" si="0"/>
        <v/>
      </c>
      <c r="H52" s="22" t="str">
        <f t="array" ref="H52">IF(F52="","",INDEX(Cripto!$A$1:$A$12,G52))</f>
        <v/>
      </c>
    </row>
    <row r="53" spans="2:8">
      <c r="B53" s="25"/>
      <c r="C53" s="16"/>
      <c r="D53" s="18"/>
      <c r="E53" s="26"/>
      <c r="F53" s="27"/>
      <c r="G53" s="28" t="str">
        <f t="shared" si="0"/>
        <v/>
      </c>
      <c r="H53" s="28" t="str">
        <f t="array" ref="H53">IF(F53="","",INDEX(Cripto!$A$1:$A$12,G53))</f>
        <v/>
      </c>
    </row>
    <row r="54" spans="2:8">
      <c r="B54" s="12"/>
      <c r="C54" s="16"/>
      <c r="D54" s="18"/>
      <c r="E54" s="19"/>
      <c r="F54" s="21"/>
      <c r="G54" s="22" t="str">
        <f t="shared" si="0"/>
        <v/>
      </c>
      <c r="H54" s="22" t="str">
        <f t="array" ref="H54">IF(F54="","",INDEX(Cripto!$A$1:$A$12,G54))</f>
        <v/>
      </c>
    </row>
    <row r="55" spans="2:8">
      <c r="B55" s="25"/>
      <c r="C55" s="16"/>
      <c r="D55" s="18"/>
      <c r="E55" s="26"/>
      <c r="F55" s="27"/>
      <c r="G55" s="28" t="str">
        <f t="shared" si="0"/>
        <v/>
      </c>
      <c r="H55" s="28" t="str">
        <f t="array" ref="H55">IF(F55="","",INDEX(Cripto!$A$1:$A$12,G55))</f>
        <v/>
      </c>
    </row>
    <row r="56" spans="2:8">
      <c r="B56" s="12"/>
      <c r="C56" s="16"/>
      <c r="D56" s="18"/>
      <c r="E56" s="19"/>
      <c r="F56" s="21"/>
      <c r="G56" s="22" t="str">
        <f t="shared" si="0"/>
        <v/>
      </c>
      <c r="H56" s="22" t="str">
        <f t="array" ref="H56">IF(F56="","",INDEX(Cripto!$A$1:$A$12,G56))</f>
        <v/>
      </c>
    </row>
    <row r="57" spans="2:8">
      <c r="B57" s="25"/>
      <c r="C57" s="16"/>
      <c r="D57" s="18"/>
      <c r="E57" s="26"/>
      <c r="F57" s="27"/>
      <c r="G57" s="28" t="str">
        <f t="shared" si="0"/>
        <v/>
      </c>
      <c r="H57" s="28" t="str">
        <f t="array" ref="H57">IF(F57="","",INDEX(Cripto!$A$1:$A$12,G57))</f>
        <v/>
      </c>
    </row>
    <row r="58" spans="2:8">
      <c r="B58" s="12"/>
      <c r="C58" s="16"/>
      <c r="D58" s="18"/>
      <c r="E58" s="19"/>
      <c r="F58" s="21"/>
      <c r="G58" s="22" t="str">
        <f t="shared" si="0"/>
        <v/>
      </c>
      <c r="H58" s="22" t="str">
        <f t="array" ref="H58">IF(F58="","",INDEX(Cripto!$A$1:$A$12,G58))</f>
        <v/>
      </c>
    </row>
    <row r="59" spans="2:8">
      <c r="B59" s="25"/>
      <c r="C59" s="16"/>
      <c r="D59" s="18"/>
      <c r="E59" s="26"/>
      <c r="F59" s="27"/>
      <c r="G59" s="28" t="str">
        <f t="shared" si="0"/>
        <v/>
      </c>
      <c r="H59" s="28" t="str">
        <f t="array" ref="H59">IF(F59="","",INDEX(Cripto!$A$1:$A$12,G59))</f>
        <v/>
      </c>
    </row>
    <row r="60" spans="2:8">
      <c r="B60" s="12"/>
      <c r="C60" s="16"/>
      <c r="D60" s="18"/>
      <c r="E60" s="19"/>
      <c r="F60" s="21"/>
      <c r="G60" s="22" t="str">
        <f t="shared" si="0"/>
        <v/>
      </c>
      <c r="H60" s="22" t="str">
        <f t="array" ref="H60">IF(F60="","",INDEX(Cripto!$A$1:$A$12,G60))</f>
        <v/>
      </c>
    </row>
    <row r="61" spans="2:8">
      <c r="B61" s="25"/>
      <c r="C61" s="16"/>
      <c r="D61" s="18"/>
      <c r="E61" s="26"/>
      <c r="F61" s="27"/>
      <c r="G61" s="28" t="str">
        <f t="shared" si="0"/>
        <v/>
      </c>
      <c r="H61" s="28" t="str">
        <f t="array" ref="H61">IF(F61="","",INDEX(Cripto!$A$1:$A$12,G61))</f>
        <v/>
      </c>
    </row>
    <row r="62" spans="2:8">
      <c r="B62" s="12"/>
      <c r="C62" s="16"/>
      <c r="D62" s="18"/>
      <c r="E62" s="19"/>
      <c r="F62" s="21"/>
      <c r="G62" s="22" t="str">
        <f t="shared" si="0"/>
        <v/>
      </c>
      <c r="H62" s="22" t="str">
        <f t="array" ref="H62">IF(F62="","",INDEX(Cripto!$A$1:$A$12,G62))</f>
        <v/>
      </c>
    </row>
    <row r="63" spans="2:8">
      <c r="B63" s="25"/>
      <c r="C63" s="16"/>
      <c r="D63" s="18"/>
      <c r="E63" s="26"/>
      <c r="F63" s="27"/>
      <c r="G63" s="28" t="str">
        <f t="shared" si="0"/>
        <v/>
      </c>
      <c r="H63" s="28" t="str">
        <f t="array" ref="H63">IF(F63="","",INDEX(Cripto!$A$1:$A$12,G63))</f>
        <v/>
      </c>
    </row>
    <row r="64" spans="2:8">
      <c r="B64" s="12"/>
      <c r="C64" s="16"/>
      <c r="D64" s="18"/>
      <c r="E64" s="19"/>
      <c r="F64" s="21"/>
      <c r="G64" s="22" t="str">
        <f t="shared" si="0"/>
        <v/>
      </c>
      <c r="H64" s="22" t="str">
        <f t="array" ref="H64">IF(F64="","",INDEX(Cripto!$A$1:$A$12,G64))</f>
        <v/>
      </c>
    </row>
    <row r="65" spans="2:8">
      <c r="B65" s="25"/>
      <c r="C65" s="16"/>
      <c r="D65" s="18"/>
      <c r="E65" s="26"/>
      <c r="F65" s="27"/>
      <c r="G65" s="28" t="str">
        <f t="shared" si="0"/>
        <v/>
      </c>
      <c r="H65" s="28" t="str">
        <f t="array" ref="H65">IF(F65="","",INDEX(Cripto!$A$1:$A$12,G65))</f>
        <v/>
      </c>
    </row>
    <row r="66" spans="2:8">
      <c r="B66" s="12"/>
      <c r="C66" s="16"/>
      <c r="D66" s="18"/>
      <c r="E66" s="19"/>
      <c r="F66" s="21"/>
      <c r="G66" s="22" t="str">
        <f t="shared" si="0"/>
        <v/>
      </c>
      <c r="H66" s="22" t="str">
        <f t="array" ref="H66">IF(F66="","",INDEX(Cripto!$A$1:$A$12,G66))</f>
        <v/>
      </c>
    </row>
    <row r="67" spans="2:8">
      <c r="B67" s="25"/>
      <c r="C67" s="16"/>
      <c r="D67" s="18"/>
      <c r="E67" s="26"/>
      <c r="F67" s="27"/>
      <c r="G67" s="28" t="str">
        <f t="shared" si="0"/>
        <v/>
      </c>
      <c r="H67" s="28" t="str">
        <f t="array" ref="H67">IF(F67="","",INDEX(Cripto!$A$1:$A$12,G67))</f>
        <v/>
      </c>
    </row>
    <row r="68" spans="2:8">
      <c r="B68" s="12"/>
      <c r="C68" s="16"/>
      <c r="D68" s="18"/>
      <c r="E68" s="19"/>
      <c r="F68" s="21"/>
      <c r="G68" s="22" t="str">
        <f t="shared" si="0"/>
        <v/>
      </c>
      <c r="H68" s="22" t="str">
        <f t="array" ref="H68">IF(F68="","",INDEX(Cripto!$A$1:$A$12,G68))</f>
        <v/>
      </c>
    </row>
    <row r="69" spans="2:8">
      <c r="B69" s="25"/>
      <c r="C69" s="16"/>
      <c r="D69" s="18"/>
      <c r="E69" s="26"/>
      <c r="F69" s="27"/>
      <c r="G69" s="28" t="str">
        <f t="shared" si="0"/>
        <v/>
      </c>
      <c r="H69" s="28" t="str">
        <f t="array" ref="H69">IF(F69="","",INDEX(Cripto!$A$1:$A$12,G69))</f>
        <v/>
      </c>
    </row>
    <row r="70" spans="2:8">
      <c r="B70" s="12"/>
      <c r="C70" s="16"/>
      <c r="D70" s="18"/>
      <c r="E70" s="19"/>
      <c r="F70" s="21"/>
      <c r="G70" s="22" t="str">
        <f t="shared" si="0"/>
        <v/>
      </c>
      <c r="H70" s="22" t="str">
        <f t="array" ref="H70">IF(F70="","",INDEX(Cripto!$A$1:$A$12,G70))</f>
        <v/>
      </c>
    </row>
    <row r="71" spans="2:8">
      <c r="B71" s="25"/>
      <c r="C71" s="16"/>
      <c r="D71" s="18"/>
      <c r="E71" s="26"/>
      <c r="F71" s="27"/>
      <c r="G71" s="28" t="str">
        <f t="shared" si="0"/>
        <v/>
      </c>
      <c r="H71" s="28" t="str">
        <f t="array" ref="H71">IF(F71="","",INDEX(Cripto!$A$1:$A$12,G71))</f>
        <v/>
      </c>
    </row>
    <row r="72" spans="2:8">
      <c r="B72" s="12"/>
      <c r="C72" s="16"/>
      <c r="D72" s="18"/>
      <c r="E72" s="19"/>
      <c r="F72" s="21"/>
      <c r="G72" s="22" t="str">
        <f t="shared" si="0"/>
        <v/>
      </c>
      <c r="H72" s="22" t="str">
        <f t="array" ref="H72">IF(F72="","",INDEX(Cripto!$A$1:$A$12,G72))</f>
        <v/>
      </c>
    </row>
    <row r="73" spans="2:8">
      <c r="B73" s="25"/>
      <c r="C73" s="16"/>
      <c r="D73" s="18"/>
      <c r="E73" s="26"/>
      <c r="F73" s="27"/>
      <c r="G73" s="28" t="str">
        <f t="shared" si="0"/>
        <v/>
      </c>
      <c r="H73" s="28" t="str">
        <f t="array" ref="H73">IF(F73="","",INDEX(Cripto!$A$1:$A$12,G73))</f>
        <v/>
      </c>
    </row>
    <row r="74" spans="2:8">
      <c r="B74" s="12"/>
      <c r="C74" s="16"/>
      <c r="D74" s="18"/>
      <c r="E74" s="19"/>
      <c r="F74" s="21"/>
      <c r="G74" s="22" t="str">
        <f t="shared" si="0"/>
        <v/>
      </c>
      <c r="H74" s="22" t="str">
        <f t="array" ref="H74">IF(F74="","",INDEX(Cripto!$A$1:$A$12,G74))</f>
        <v/>
      </c>
    </row>
    <row r="75" spans="2:8">
      <c r="B75" s="25"/>
      <c r="C75" s="16"/>
      <c r="D75" s="18"/>
      <c r="E75" s="26"/>
      <c r="F75" s="51"/>
      <c r="G75" s="28" t="str">
        <f t="shared" si="0"/>
        <v/>
      </c>
      <c r="H75" s="28" t="str">
        <f t="array" ref="H75">IF(F75="","",INDEX(Cripto!$A$1:$A$12,G75))</f>
        <v/>
      </c>
    </row>
    <row r="76" spans="2:8">
      <c r="B76" s="12"/>
      <c r="C76" s="16"/>
      <c r="D76" s="18"/>
      <c r="E76" s="19"/>
      <c r="F76" s="21"/>
      <c r="G76" s="22" t="str">
        <f t="shared" si="0"/>
        <v/>
      </c>
      <c r="H76" s="22" t="str">
        <f t="array" ref="H76">IF(F76="","",INDEX(Cripto!$A$1:$A$12,G76))</f>
        <v/>
      </c>
    </row>
    <row r="77" spans="2:8">
      <c r="B77" s="25"/>
      <c r="C77" s="16"/>
      <c r="D77" s="18"/>
      <c r="E77" s="26"/>
      <c r="F77" s="27"/>
      <c r="G77" s="28" t="str">
        <f t="shared" si="0"/>
        <v/>
      </c>
      <c r="H77" s="28" t="str">
        <f t="array" ref="H77">IF(F77="","",INDEX(Cripto!$A$1:$A$12,G77))</f>
        <v/>
      </c>
    </row>
    <row r="78" spans="2:8">
      <c r="B78" s="12"/>
      <c r="C78" s="16"/>
      <c r="D78" s="18"/>
      <c r="E78" s="19"/>
      <c r="F78" s="21"/>
      <c r="G78" s="22" t="str">
        <f t="shared" si="0"/>
        <v/>
      </c>
      <c r="H78" s="22" t="str">
        <f t="array" ref="H78">IF(F78="","",INDEX(Cripto!$A$1:$A$12,G78))</f>
        <v/>
      </c>
    </row>
    <row r="79" spans="2:8">
      <c r="B79" s="25"/>
      <c r="C79" s="16"/>
      <c r="D79" s="18"/>
      <c r="E79" s="26"/>
      <c r="F79" s="51"/>
      <c r="G79" s="28" t="str">
        <f t="shared" si="0"/>
        <v/>
      </c>
      <c r="H79" s="28" t="str">
        <f t="array" ref="H79">IF(F79="","",INDEX(Cripto!$A$1:$A$12,G79))</f>
        <v/>
      </c>
    </row>
    <row r="80" spans="2:8">
      <c r="B80" s="12"/>
      <c r="C80" s="16"/>
      <c r="D80" s="18"/>
      <c r="E80" s="19"/>
      <c r="F80" s="21"/>
      <c r="G80" s="22" t="str">
        <f t="shared" si="0"/>
        <v/>
      </c>
      <c r="H80" s="22" t="str">
        <f t="array" ref="H80">IF(F80="","",INDEX(Cripto!$A$1:$A$12,G80))</f>
        <v/>
      </c>
    </row>
    <row r="81" spans="2:8">
      <c r="B81" s="25"/>
      <c r="C81" s="16"/>
      <c r="D81" s="18"/>
      <c r="E81" s="26"/>
      <c r="F81" s="27"/>
      <c r="G81" s="28" t="str">
        <f t="shared" si="0"/>
        <v/>
      </c>
      <c r="H81" s="28" t="str">
        <f t="array" ref="H81">IF(F81="","",INDEX(Cripto!$A$1:$A$12,G81))</f>
        <v/>
      </c>
    </row>
    <row r="82" spans="2:8">
      <c r="B82" s="12"/>
      <c r="C82" s="16"/>
      <c r="D82" s="18"/>
      <c r="E82" s="19"/>
      <c r="F82" s="21"/>
      <c r="G82" s="22" t="str">
        <f t="shared" si="0"/>
        <v/>
      </c>
      <c r="H82" s="22" t="str">
        <f t="array" ref="H82">IF(F82="","",INDEX(Cripto!$A$1:$A$12,G82))</f>
        <v/>
      </c>
    </row>
    <row r="83" spans="2:8">
      <c r="B83" s="25"/>
      <c r="C83" s="16"/>
      <c r="D83" s="18"/>
      <c r="E83" s="26"/>
      <c r="F83" s="27"/>
      <c r="G83" s="28" t="str">
        <f t="shared" si="0"/>
        <v/>
      </c>
      <c r="H83" s="28" t="str">
        <f t="array" ref="H83">IF(F83="","",INDEX(Cripto!$A$1:$A$12,G83))</f>
        <v/>
      </c>
    </row>
    <row r="84" spans="2:8">
      <c r="B84" s="12"/>
      <c r="C84" s="16"/>
      <c r="D84" s="18"/>
      <c r="E84" s="19"/>
      <c r="F84" s="21"/>
      <c r="G84" s="22" t="str">
        <f t="shared" si="0"/>
        <v/>
      </c>
      <c r="H84" s="22" t="str">
        <f t="array" ref="H84">IF(F84="","",INDEX(Cripto!$A$1:$A$12,G84))</f>
        <v/>
      </c>
    </row>
    <row r="85" spans="2:8">
      <c r="B85" s="25"/>
      <c r="C85" s="16"/>
      <c r="D85" s="18"/>
      <c r="E85" s="26"/>
      <c r="F85" s="27"/>
      <c r="G85" s="28" t="str">
        <f t="shared" si="0"/>
        <v/>
      </c>
      <c r="H85" s="28" t="str">
        <f t="array" ref="H85">IF(F85="","",INDEX(Cripto!$A$1:$A$12,G85))</f>
        <v/>
      </c>
    </row>
    <row r="86" spans="2:8">
      <c r="B86" s="12"/>
      <c r="C86" s="16"/>
      <c r="D86" s="18"/>
      <c r="E86" s="19"/>
      <c r="F86" s="21"/>
      <c r="G86" s="22" t="str">
        <f t="shared" si="0"/>
        <v/>
      </c>
      <c r="H86" s="22" t="str">
        <f t="array" ref="H86">IF(F86="","",INDEX(Cripto!$A$1:$A$12,G86))</f>
        <v/>
      </c>
    </row>
    <row r="87" spans="2:8">
      <c r="B87" s="25"/>
      <c r="C87" s="16"/>
      <c r="D87" s="18"/>
      <c r="E87" s="26"/>
      <c r="F87" s="27"/>
      <c r="G87" s="28" t="str">
        <f t="shared" si="0"/>
        <v/>
      </c>
      <c r="H87" s="28" t="str">
        <f t="array" ref="H87">IF(F87="","",INDEX(Cripto!$A$1:$A$12,G87))</f>
        <v/>
      </c>
    </row>
    <row r="88" spans="2:8">
      <c r="B88" s="12"/>
      <c r="C88" s="16"/>
      <c r="D88" s="18"/>
      <c r="E88" s="19"/>
      <c r="F88" s="21"/>
      <c r="G88" s="22" t="str">
        <f t="shared" si="0"/>
        <v/>
      </c>
      <c r="H88" s="22" t="str">
        <f t="array" ref="H88">IF(F88="","",INDEX(Cripto!$A$1:$A$12,G88))</f>
        <v/>
      </c>
    </row>
    <row r="89" spans="2:8">
      <c r="B89" s="25"/>
      <c r="C89" s="16"/>
      <c r="D89" s="18"/>
      <c r="E89" s="26"/>
      <c r="F89" s="27"/>
      <c r="G89" s="28" t="str">
        <f t="shared" si="0"/>
        <v/>
      </c>
      <c r="H89" s="28" t="str">
        <f t="array" ref="H89">IF(F89="","",INDEX(Cripto!$A$1:$A$12,G89))</f>
        <v/>
      </c>
    </row>
    <row r="90" spans="2:8">
      <c r="B90" s="12"/>
      <c r="C90" s="16"/>
      <c r="D90" s="18"/>
      <c r="E90" s="19"/>
      <c r="F90" s="21"/>
      <c r="G90" s="22" t="str">
        <f t="shared" si="0"/>
        <v/>
      </c>
      <c r="H90" s="22" t="str">
        <f t="array" ref="H90">IF(F90="","",INDEX(Cripto!$A$1:$A$12,G90))</f>
        <v/>
      </c>
    </row>
    <row r="91" spans="2:8">
      <c r="B91" s="25"/>
      <c r="C91" s="16"/>
      <c r="D91" s="18"/>
      <c r="E91" s="26"/>
      <c r="F91" s="27"/>
      <c r="G91" s="28" t="str">
        <f t="shared" si="0"/>
        <v/>
      </c>
      <c r="H91" s="28" t="str">
        <f t="array" ref="H91">IF(F91="","",INDEX(Cripto!$A$1:$A$12,G91))</f>
        <v/>
      </c>
    </row>
    <row r="92" spans="2:8">
      <c r="B92" s="12"/>
      <c r="C92" s="16"/>
      <c r="D92" s="18"/>
      <c r="E92" s="19"/>
      <c r="F92" s="21"/>
      <c r="G92" s="22" t="str">
        <f t="shared" si="0"/>
        <v/>
      </c>
      <c r="H92" s="22" t="str">
        <f t="array" ref="H92">IF(F92="","",INDEX(Cripto!$A$1:$A$12,G92))</f>
        <v/>
      </c>
    </row>
    <row r="93" spans="2:8">
      <c r="B93" s="25"/>
      <c r="C93" s="16"/>
      <c r="D93" s="18"/>
      <c r="E93" s="26"/>
      <c r="F93" s="27"/>
      <c r="G93" s="28" t="str">
        <f t="shared" si="0"/>
        <v/>
      </c>
      <c r="H93" s="28" t="str">
        <f t="array" ref="H93">IF(F93="","",INDEX(Cripto!$A$1:$A$12,G93))</f>
        <v/>
      </c>
    </row>
    <row r="94" spans="2:8">
      <c r="B94" s="12"/>
      <c r="C94" s="16"/>
      <c r="D94" s="18"/>
      <c r="E94" s="19"/>
      <c r="F94" s="21"/>
      <c r="G94" s="22" t="str">
        <f t="shared" si="0"/>
        <v/>
      </c>
      <c r="H94" s="22" t="str">
        <f t="array" ref="H94">IF(F94="","",INDEX(Cripto!$A$1:$A$12,G94))</f>
        <v/>
      </c>
    </row>
    <row r="95" spans="2:8">
      <c r="B95" s="25"/>
      <c r="C95" s="16"/>
      <c r="D95" s="18"/>
      <c r="E95" s="26"/>
      <c r="F95" s="27"/>
      <c r="G95" s="28" t="str">
        <f t="shared" si="0"/>
        <v/>
      </c>
      <c r="H95" s="28" t="str">
        <f t="array" ref="H95">IF(F95="","",INDEX(Cripto!$A$1:$A$12,G95))</f>
        <v/>
      </c>
    </row>
    <row r="96" spans="2:8">
      <c r="B96" s="12"/>
      <c r="C96" s="16"/>
      <c r="D96" s="18"/>
      <c r="E96" s="19"/>
      <c r="F96" s="21"/>
      <c r="G96" s="22" t="str">
        <f t="shared" si="0"/>
        <v/>
      </c>
      <c r="H96" s="22" t="str">
        <f t="array" ref="H96">IF(F96="","",INDEX(Cripto!$A$1:$A$12,G96))</f>
        <v/>
      </c>
    </row>
    <row r="97" spans="2:8">
      <c r="B97" s="25"/>
      <c r="C97" s="16"/>
      <c r="D97" s="18"/>
      <c r="E97" s="26"/>
      <c r="F97" s="27"/>
      <c r="G97" s="28" t="str">
        <f t="shared" si="0"/>
        <v/>
      </c>
      <c r="H97" s="28" t="str">
        <f t="array" ref="H97">IF(F97="","",INDEX(Cripto!$A$1:$A$12,G97))</f>
        <v/>
      </c>
    </row>
    <row r="98" spans="2:8">
      <c r="B98" s="12"/>
      <c r="C98" s="16"/>
      <c r="D98" s="18"/>
      <c r="E98" s="19"/>
      <c r="F98" s="21"/>
      <c r="G98" s="22" t="str">
        <f t="shared" si="0"/>
        <v/>
      </c>
      <c r="H98" s="22" t="str">
        <f t="array" ref="H98">IF(F98="","",INDEX(Cripto!$A$1:$A$12,G98))</f>
        <v/>
      </c>
    </row>
    <row r="99" spans="2:8">
      <c r="B99" s="25"/>
      <c r="C99" s="16"/>
      <c r="D99" s="18"/>
      <c r="E99" s="26"/>
      <c r="F99" s="27"/>
      <c r="G99" s="28" t="str">
        <f t="shared" si="0"/>
        <v/>
      </c>
      <c r="H99" s="28" t="str">
        <f t="array" ref="H99">IF(F99="","",INDEX(Cripto!$A$1:$A$12,G99))</f>
        <v/>
      </c>
    </row>
    <row r="100" spans="2:8">
      <c r="B100" s="12"/>
      <c r="C100" s="16"/>
      <c r="D100" s="18"/>
      <c r="E100" s="19"/>
      <c r="F100" s="21"/>
      <c r="G100" s="22" t="str">
        <f t="shared" si="0"/>
        <v/>
      </c>
      <c r="H100" s="22" t="str">
        <f t="array" ref="H100">IF(F100="","",INDEX(Cripto!$A$1:$A$12,G100))</f>
        <v/>
      </c>
    </row>
    <row r="101" spans="2:8">
      <c r="B101" s="25"/>
      <c r="C101" s="16"/>
      <c r="D101" s="18"/>
      <c r="E101" s="26"/>
      <c r="F101" s="27"/>
      <c r="G101" s="28" t="str">
        <f t="shared" si="0"/>
        <v/>
      </c>
      <c r="H101" s="28" t="str">
        <f t="array" ref="H101">IF(F101="","",INDEX(Cripto!$A$1:$A$12,G101))</f>
        <v/>
      </c>
    </row>
    <row r="102" spans="2:8">
      <c r="B102" s="12"/>
      <c r="C102" s="16"/>
      <c r="D102" s="18"/>
      <c r="E102" s="19"/>
      <c r="F102" s="21"/>
      <c r="G102" s="22" t="str">
        <f t="shared" si="0"/>
        <v/>
      </c>
      <c r="H102" s="22" t="str">
        <f t="array" ref="H102">IF(F102="","",INDEX(Cripto!$A$1:$A$12,G102))</f>
        <v/>
      </c>
    </row>
    <row r="103" spans="2:8">
      <c r="B103" s="25"/>
      <c r="C103" s="16"/>
      <c r="D103" s="18"/>
      <c r="E103" s="26"/>
      <c r="F103" s="27"/>
      <c r="G103" s="28" t="str">
        <f t="shared" si="0"/>
        <v/>
      </c>
      <c r="H103" s="28" t="str">
        <f t="array" ref="H103">IF(F103="","",INDEX(Cripto!$A$1:$A$12,G103))</f>
        <v/>
      </c>
    </row>
    <row r="104" spans="2:8">
      <c r="B104" s="12"/>
      <c r="C104" s="16"/>
      <c r="D104" s="18"/>
      <c r="E104" s="19"/>
      <c r="F104" s="21"/>
      <c r="G104" s="22" t="str">
        <f t="shared" si="0"/>
        <v/>
      </c>
      <c r="H104" s="22" t="str">
        <f t="array" ref="H104">IF(F104="","",INDEX(Cripto!$A$1:$A$12,G104))</f>
        <v/>
      </c>
    </row>
    <row r="105" spans="2:8">
      <c r="B105" s="25"/>
      <c r="C105" s="16"/>
      <c r="D105" s="18"/>
      <c r="E105" s="26"/>
      <c r="F105" s="27"/>
      <c r="G105" s="28" t="str">
        <f t="shared" si="0"/>
        <v/>
      </c>
      <c r="H105" s="28" t="str">
        <f t="array" ref="H105">IF(F105="","",INDEX(Cripto!$A$1:$A$12,G105))</f>
        <v/>
      </c>
    </row>
    <row r="106" spans="2:8">
      <c r="B106" s="12"/>
      <c r="C106" s="16"/>
      <c r="D106" s="18"/>
      <c r="E106" s="19"/>
      <c r="F106" s="21"/>
      <c r="G106" s="22" t="str">
        <f t="shared" si="0"/>
        <v/>
      </c>
      <c r="H106" s="22" t="str">
        <f t="array" ref="H106">IF(F106="","",INDEX(Cripto!$A$1:$A$12,G106))</f>
        <v/>
      </c>
    </row>
    <row r="107" spans="2:8">
      <c r="B107" s="25"/>
      <c r="C107" s="16"/>
      <c r="D107" s="18"/>
      <c r="E107" s="26"/>
      <c r="F107" s="27"/>
      <c r="G107" s="28" t="str">
        <f t="shared" si="0"/>
        <v/>
      </c>
      <c r="H107" s="28" t="str">
        <f t="array" ref="H107">IF(F107="","",INDEX(Cripto!$A$1:$A$12,G107))</f>
        <v/>
      </c>
    </row>
    <row r="108" spans="2:8">
      <c r="B108" s="12"/>
      <c r="C108" s="16"/>
      <c r="D108" s="18"/>
      <c r="E108" s="19"/>
      <c r="F108" s="21"/>
      <c r="G108" s="22" t="str">
        <f t="shared" si="0"/>
        <v/>
      </c>
      <c r="H108" s="22" t="str">
        <f t="array" ref="H108">IF(F108="","",INDEX(Cripto!$A$1:$A$12,G108))</f>
        <v/>
      </c>
    </row>
    <row r="109" spans="2:8">
      <c r="B109" s="25"/>
      <c r="C109" s="16"/>
      <c r="D109" s="18"/>
      <c r="E109" s="26"/>
      <c r="F109" s="27"/>
      <c r="G109" s="28" t="str">
        <f t="shared" si="0"/>
        <v/>
      </c>
      <c r="H109" s="28" t="str">
        <f t="array" ref="H109">IF(F109="","",INDEX(Cripto!$A$1:$A$12,G109))</f>
        <v/>
      </c>
    </row>
    <row r="110" spans="2:8">
      <c r="B110" s="12"/>
      <c r="C110" s="16"/>
      <c r="D110" s="18"/>
      <c r="E110" s="19"/>
      <c r="F110" s="21"/>
      <c r="G110" s="22" t="str">
        <f t="shared" si="0"/>
        <v/>
      </c>
      <c r="H110" s="22" t="str">
        <f t="array" ref="H110">IF(F110="","",INDEX(Cripto!$A$1:$A$12,G110))</f>
        <v/>
      </c>
    </row>
    <row r="111" spans="2:8">
      <c r="B111" s="25"/>
      <c r="C111" s="16"/>
      <c r="D111" s="18"/>
      <c r="E111" s="26"/>
      <c r="F111" s="27"/>
      <c r="G111" s="28" t="str">
        <f t="shared" si="0"/>
        <v/>
      </c>
      <c r="H111" s="28" t="str">
        <f t="array" ref="H111">IF(F111="","",INDEX(Cripto!$A$1:$A$12,G111))</f>
        <v/>
      </c>
    </row>
    <row r="112" spans="2:8">
      <c r="B112" s="12"/>
      <c r="C112" s="16"/>
      <c r="D112" s="18"/>
      <c r="E112" s="19"/>
      <c r="F112" s="21"/>
      <c r="G112" s="22" t="str">
        <f t="shared" si="0"/>
        <v/>
      </c>
      <c r="H112" s="22" t="str">
        <f t="array" ref="H112">IF(F112="","",INDEX(Cripto!$A$1:$A$12,G112))</f>
        <v/>
      </c>
    </row>
    <row r="113" spans="2:8">
      <c r="B113" s="25"/>
      <c r="C113" s="16"/>
      <c r="D113" s="18"/>
      <c r="E113" s="26"/>
      <c r="F113" s="27"/>
      <c r="G113" s="28" t="str">
        <f t="shared" si="0"/>
        <v/>
      </c>
      <c r="H113" s="28" t="str">
        <f t="array" ref="H113">IF(F113="","",INDEX(Cripto!$A$1:$A$12,G113))</f>
        <v/>
      </c>
    </row>
    <row r="114" spans="2:8">
      <c r="B114" s="12"/>
      <c r="C114" s="16"/>
      <c r="D114" s="18"/>
      <c r="E114" s="19"/>
      <c r="F114" s="21"/>
      <c r="G114" s="22" t="str">
        <f t="shared" si="0"/>
        <v/>
      </c>
      <c r="H114" s="22" t="str">
        <f t="array" ref="H114">IF(F114="","",INDEX(Cripto!$A$1:$A$12,G114))</f>
        <v/>
      </c>
    </row>
    <row r="115" spans="2:8">
      <c r="B115" s="25"/>
      <c r="C115" s="16"/>
      <c r="D115" s="18"/>
      <c r="E115" s="26"/>
      <c r="F115" s="27"/>
      <c r="G115" s="28" t="str">
        <f t="shared" si="0"/>
        <v/>
      </c>
      <c r="H115" s="28" t="str">
        <f t="array" ref="H115">IF(F115="","",INDEX(Cripto!$A$1:$A$12,G115))</f>
        <v/>
      </c>
    </row>
    <row r="116" spans="2:8">
      <c r="B116" s="12"/>
      <c r="C116" s="16"/>
      <c r="D116" s="18"/>
      <c r="E116" s="19"/>
      <c r="F116" s="21"/>
      <c r="G116" s="22" t="str">
        <f t="shared" si="0"/>
        <v/>
      </c>
      <c r="H116" s="22" t="str">
        <f t="array" ref="H116">IF(F116="","",INDEX(Cripto!$A$1:$A$12,G116))</f>
        <v/>
      </c>
    </row>
    <row r="117" spans="2:8">
      <c r="B117" s="25"/>
      <c r="C117" s="16"/>
      <c r="D117" s="18"/>
      <c r="E117" s="26"/>
      <c r="F117" s="27"/>
      <c r="G117" s="28" t="str">
        <f t="shared" si="0"/>
        <v/>
      </c>
      <c r="H117" s="28" t="str">
        <f t="array" ref="H117">IF(F117="","",INDEX(Cripto!$A$1:$A$12,G117))</f>
        <v/>
      </c>
    </row>
    <row r="118" spans="2:8">
      <c r="B118" s="12"/>
      <c r="C118" s="16"/>
      <c r="D118" s="18"/>
      <c r="E118" s="19"/>
      <c r="F118" s="21"/>
      <c r="G118" s="22" t="str">
        <f t="shared" si="0"/>
        <v/>
      </c>
      <c r="H118" s="22" t="str">
        <f t="array" ref="H118">IF(F118="","",INDEX(Cripto!$A$1:$A$12,G118))</f>
        <v/>
      </c>
    </row>
    <row r="119" spans="2:8">
      <c r="B119" s="25"/>
      <c r="C119" s="16"/>
      <c r="D119" s="18"/>
      <c r="E119" s="26"/>
      <c r="F119" s="27"/>
      <c r="G119" s="28" t="str">
        <f t="shared" si="0"/>
        <v/>
      </c>
      <c r="H119" s="28" t="str">
        <f t="array" ref="H119">IF(F119="","",INDEX(Cripto!$A$1:$A$12,G119))</f>
        <v/>
      </c>
    </row>
    <row r="120" spans="2:8">
      <c r="B120" s="12"/>
      <c r="C120" s="16"/>
      <c r="D120" s="18"/>
      <c r="E120" s="19"/>
      <c r="F120" s="21"/>
      <c r="G120" s="22" t="str">
        <f t="shared" si="0"/>
        <v/>
      </c>
      <c r="H120" s="22" t="str">
        <f t="array" ref="H120">IF(F120="","",INDEX(Cripto!$A$1:$A$12,G120))</f>
        <v/>
      </c>
    </row>
    <row r="121" spans="2:8">
      <c r="B121" s="25"/>
      <c r="C121" s="16"/>
      <c r="D121" s="18"/>
      <c r="E121" s="26"/>
      <c r="F121" s="27"/>
      <c r="G121" s="28" t="str">
        <f t="shared" si="0"/>
        <v/>
      </c>
      <c r="H121" s="28" t="str">
        <f t="array" ref="H121">IF(F121="","",INDEX(Cripto!$A$1:$A$12,G121))</f>
        <v/>
      </c>
    </row>
    <row r="122" spans="2:8">
      <c r="B122" s="12"/>
      <c r="C122" s="16"/>
      <c r="D122" s="18"/>
      <c r="E122" s="19"/>
      <c r="F122" s="21"/>
      <c r="G122" s="22" t="str">
        <f t="shared" si="0"/>
        <v/>
      </c>
      <c r="H122" s="22" t="str">
        <f t="array" ref="H122">IF(F122="","",INDEX(Cripto!$A$1:$A$12,G122))</f>
        <v/>
      </c>
    </row>
    <row r="123" spans="2:8">
      <c r="B123" s="25"/>
      <c r="C123" s="16"/>
      <c r="D123" s="18"/>
      <c r="E123" s="26"/>
      <c r="F123" s="27"/>
      <c r="G123" s="28" t="str">
        <f t="shared" si="0"/>
        <v/>
      </c>
      <c r="H123" s="28" t="str">
        <f t="array" ref="H123">IF(F123="","",INDEX(Cripto!$A$1:$A$12,G123))</f>
        <v/>
      </c>
    </row>
    <row r="124" spans="2:8">
      <c r="B124" s="12"/>
      <c r="C124" s="16"/>
      <c r="D124" s="18"/>
      <c r="E124" s="19"/>
      <c r="F124" s="21"/>
      <c r="G124" s="22" t="str">
        <f t="shared" si="0"/>
        <v/>
      </c>
      <c r="H124" s="22" t="str">
        <f t="array" ref="H124">IF(F124="","",INDEX(Cripto!$A$1:$A$12,G124))</f>
        <v/>
      </c>
    </row>
    <row r="125" spans="2:8">
      <c r="B125" s="25"/>
      <c r="C125" s="16"/>
      <c r="D125" s="18"/>
      <c r="E125" s="26"/>
      <c r="F125" s="27"/>
      <c r="G125" s="28" t="str">
        <f t="shared" si="0"/>
        <v/>
      </c>
      <c r="H125" s="28" t="str">
        <f t="array" ref="H125">IF(F125="","",INDEX(Cripto!$A$1:$A$12,G125))</f>
        <v/>
      </c>
    </row>
    <row r="126" spans="2:8">
      <c r="B126" s="12"/>
      <c r="C126" s="16"/>
      <c r="D126" s="18"/>
      <c r="E126" s="19"/>
      <c r="F126" s="21"/>
      <c r="G126" s="22" t="str">
        <f t="shared" si="0"/>
        <v/>
      </c>
      <c r="H126" s="22" t="str">
        <f t="array" ref="H126">IF(F126="","",INDEX(Cripto!$A$1:$A$12,G126))</f>
        <v/>
      </c>
    </row>
    <row r="127" spans="2:8">
      <c r="B127" s="25"/>
      <c r="C127" s="16"/>
      <c r="D127" s="18"/>
      <c r="E127" s="26"/>
      <c r="F127" s="27"/>
      <c r="G127" s="28" t="str">
        <f t="shared" si="0"/>
        <v/>
      </c>
      <c r="H127" s="28" t="str">
        <f t="array" ref="H127">IF(F127="","",INDEX(Cripto!$A$1:$A$12,G127))</f>
        <v/>
      </c>
    </row>
    <row r="128" spans="2:8">
      <c r="B128" s="12"/>
      <c r="C128" s="16"/>
      <c r="D128" s="18"/>
      <c r="E128" s="19"/>
      <c r="F128" s="21"/>
      <c r="G128" s="22" t="str">
        <f t="shared" si="0"/>
        <v/>
      </c>
      <c r="H128" s="22" t="str">
        <f t="array" ref="H128">IF(F128="","",INDEX(Cripto!$A$1:$A$12,G128))</f>
        <v/>
      </c>
    </row>
    <row r="129" spans="2:8">
      <c r="B129" s="25"/>
      <c r="C129" s="16"/>
      <c r="D129" s="18"/>
      <c r="E129" s="26"/>
      <c r="F129" s="27"/>
      <c r="G129" s="28" t="str">
        <f t="shared" si="0"/>
        <v/>
      </c>
      <c r="H129" s="28" t="str">
        <f t="array" ref="H129">IF(F129="","",INDEX(Cripto!$A$1:$A$12,G129))</f>
        <v/>
      </c>
    </row>
    <row r="130" spans="2:8">
      <c r="B130" s="12"/>
      <c r="C130" s="16"/>
      <c r="D130" s="18"/>
      <c r="E130" s="19"/>
      <c r="F130" s="21"/>
      <c r="G130" s="22" t="str">
        <f t="shared" si="0"/>
        <v/>
      </c>
      <c r="H130" s="22" t="str">
        <f t="array" ref="H130">IF(F130="","",INDEX(Cripto!$A$1:$A$12,G130))</f>
        <v/>
      </c>
    </row>
    <row r="131" spans="2:8">
      <c r="B131" s="25"/>
      <c r="C131" s="16"/>
      <c r="D131" s="18"/>
      <c r="E131" s="26"/>
      <c r="F131" s="27"/>
      <c r="G131" s="28" t="str">
        <f t="shared" si="0"/>
        <v/>
      </c>
      <c r="H131" s="28" t="str">
        <f t="array" ref="H131">IF(F131="","",INDEX(Cripto!$A$1:$A$12,G131))</f>
        <v/>
      </c>
    </row>
    <row r="132" spans="2:8">
      <c r="B132" s="12"/>
      <c r="C132" s="16"/>
      <c r="D132" s="18"/>
      <c r="E132" s="19"/>
      <c r="F132" s="21"/>
      <c r="G132" s="22" t="str">
        <f t="shared" si="0"/>
        <v/>
      </c>
      <c r="H132" s="22" t="str">
        <f t="array" ref="H132">IF(F132="","",INDEX(Cripto!$A$1:$A$12,G132))</f>
        <v/>
      </c>
    </row>
    <row r="133" spans="2:8">
      <c r="B133" s="25"/>
      <c r="C133" s="16"/>
      <c r="D133" s="18"/>
      <c r="E133" s="26"/>
      <c r="F133" s="27"/>
      <c r="G133" s="28" t="str">
        <f t="shared" si="0"/>
        <v/>
      </c>
      <c r="H133" s="28" t="str">
        <f t="array" ref="H133">IF(F133="","",INDEX(Cripto!$A$1:$A$12,G133))</f>
        <v/>
      </c>
    </row>
    <row r="134" spans="2:8">
      <c r="B134" s="12"/>
      <c r="C134" s="16"/>
      <c r="D134" s="18"/>
      <c r="E134" s="19"/>
      <c r="F134" s="21"/>
      <c r="G134" s="22" t="str">
        <f t="shared" si="0"/>
        <v/>
      </c>
      <c r="H134" s="22" t="str">
        <f t="array" ref="H134">IF(F134="","",INDEX(Cripto!$A$1:$A$12,G134))</f>
        <v/>
      </c>
    </row>
    <row r="135" spans="2:8">
      <c r="B135" s="25"/>
      <c r="C135" s="16"/>
      <c r="D135" s="18"/>
      <c r="E135" s="26"/>
      <c r="F135" s="27"/>
      <c r="G135" s="28" t="str">
        <f t="shared" si="0"/>
        <v/>
      </c>
      <c r="H135" s="28" t="str">
        <f t="array" ref="H135">IF(F135="","",INDEX(Cripto!$A$1:$A$12,G135))</f>
        <v/>
      </c>
    </row>
    <row r="136" spans="2:8">
      <c r="B136" s="12"/>
      <c r="C136" s="16"/>
      <c r="D136" s="18"/>
      <c r="E136" s="19"/>
      <c r="F136" s="21"/>
      <c r="G136" s="22" t="str">
        <f t="shared" si="0"/>
        <v/>
      </c>
      <c r="H136" s="22" t="str">
        <f t="array" ref="H136">IF(F136="","",INDEX(Cripto!$A$1:$A$12,G136))</f>
        <v/>
      </c>
    </row>
    <row r="137" spans="2:8">
      <c r="B137" s="25"/>
      <c r="C137" s="16"/>
      <c r="D137" s="18"/>
      <c r="E137" s="26"/>
      <c r="F137" s="27"/>
      <c r="G137" s="28" t="str">
        <f t="shared" si="0"/>
        <v/>
      </c>
      <c r="H137" s="28" t="str">
        <f t="array" ref="H137">IF(F137="","",INDEX(Cripto!$A$1:$A$12,G137))</f>
        <v/>
      </c>
    </row>
    <row r="138" spans="2:8">
      <c r="B138" s="12"/>
      <c r="C138" s="16"/>
      <c r="D138" s="18"/>
      <c r="E138" s="19"/>
      <c r="F138" s="21"/>
      <c r="G138" s="22" t="str">
        <f t="shared" si="0"/>
        <v/>
      </c>
      <c r="H138" s="22" t="str">
        <f t="array" ref="H138">IF(F138="","",INDEX(Cripto!$A$1:$A$12,G138))</f>
        <v/>
      </c>
    </row>
    <row r="139" spans="2:8">
      <c r="B139" s="25"/>
      <c r="C139" s="16"/>
      <c r="D139" s="18"/>
      <c r="E139" s="26"/>
      <c r="F139" s="27"/>
      <c r="G139" s="28" t="str">
        <f t="shared" si="0"/>
        <v/>
      </c>
      <c r="H139" s="28" t="str">
        <f t="array" ref="H139">IF(F139="","",INDEX(Cripto!$A$1:$A$12,G139))</f>
        <v/>
      </c>
    </row>
    <row r="140" spans="2:8">
      <c r="B140" s="12"/>
      <c r="C140" s="16"/>
      <c r="D140" s="18"/>
      <c r="E140" s="19"/>
      <c r="F140" s="21"/>
      <c r="G140" s="22" t="str">
        <f t="shared" si="0"/>
        <v/>
      </c>
      <c r="H140" s="22" t="str">
        <f t="array" ref="H140">IF(F140="","",INDEX(Cripto!$A$1:$A$12,G140))</f>
        <v/>
      </c>
    </row>
    <row r="141" spans="2:8">
      <c r="B141" s="25"/>
      <c r="C141" s="16"/>
      <c r="D141" s="18"/>
      <c r="E141" s="26"/>
      <c r="F141" s="27"/>
      <c r="G141" s="28" t="str">
        <f t="shared" si="0"/>
        <v/>
      </c>
      <c r="H141" s="28" t="str">
        <f t="array" ref="H141">IF(F141="","",INDEX(Cripto!$A$1:$A$12,G141))</f>
        <v/>
      </c>
    </row>
    <row r="142" spans="2:8">
      <c r="B142" s="12"/>
      <c r="C142" s="16"/>
      <c r="D142" s="18"/>
      <c r="E142" s="19"/>
      <c r="F142" s="21"/>
      <c r="G142" s="22" t="str">
        <f t="shared" si="0"/>
        <v/>
      </c>
      <c r="H142" s="22" t="str">
        <f t="array" ref="H142">IF(F142="","",INDEX(Cripto!$A$1:$A$12,G142))</f>
        <v/>
      </c>
    </row>
    <row r="143" spans="2:8">
      <c r="B143" s="25"/>
      <c r="C143" s="16"/>
      <c r="D143" s="18"/>
      <c r="E143" s="26"/>
      <c r="F143" s="27"/>
      <c r="G143" s="28" t="str">
        <f t="shared" si="0"/>
        <v/>
      </c>
      <c r="H143" s="28" t="str">
        <f t="array" ref="H143">IF(F143="","",INDEX(Cripto!$A$1:$A$12,G143))</f>
        <v/>
      </c>
    </row>
    <row r="144" spans="2:8">
      <c r="B144" s="12"/>
      <c r="C144" s="16"/>
      <c r="D144" s="18"/>
      <c r="E144" s="19"/>
      <c r="F144" s="21"/>
      <c r="G144" s="22" t="str">
        <f t="shared" si="0"/>
        <v/>
      </c>
      <c r="H144" s="22" t="str">
        <f t="array" ref="H144">IF(F144="","",INDEX(Cripto!$A$1:$A$12,G144))</f>
        <v/>
      </c>
    </row>
    <row r="145" spans="2:8">
      <c r="B145" s="25"/>
      <c r="C145" s="16"/>
      <c r="D145" s="18"/>
      <c r="E145" s="26"/>
      <c r="F145" s="27"/>
      <c r="G145" s="28" t="str">
        <f t="shared" si="0"/>
        <v/>
      </c>
      <c r="H145" s="28" t="str">
        <f t="array" ref="H145">IF(F145="","",INDEX(Cripto!$A$1:$A$12,G145))</f>
        <v/>
      </c>
    </row>
    <row r="146" spans="2:8">
      <c r="B146" s="12"/>
      <c r="C146" s="16"/>
      <c r="D146" s="18"/>
      <c r="E146" s="19"/>
      <c r="F146" s="21"/>
      <c r="G146" s="22" t="str">
        <f t="shared" si="0"/>
        <v/>
      </c>
      <c r="H146" s="22" t="str">
        <f t="array" ref="H146">IF(F146="","",INDEX(Cripto!$A$1:$A$12,G146))</f>
        <v/>
      </c>
    </row>
    <row r="147" spans="2:8">
      <c r="B147" s="25"/>
      <c r="C147" s="16"/>
      <c r="D147" s="18"/>
      <c r="E147" s="26"/>
      <c r="F147" s="27"/>
      <c r="G147" s="28" t="str">
        <f t="shared" si="0"/>
        <v/>
      </c>
      <c r="H147" s="28" t="str">
        <f t="array" ref="H147">IF(F147="","",INDEX(Cripto!$A$1:$A$12,G147))</f>
        <v/>
      </c>
    </row>
    <row r="148" spans="2:8">
      <c r="B148" s="12"/>
      <c r="C148" s="16"/>
      <c r="D148" s="18"/>
      <c r="E148" s="19"/>
      <c r="F148" s="21"/>
      <c r="G148" s="22" t="str">
        <f t="shared" si="0"/>
        <v/>
      </c>
      <c r="H148" s="22" t="str">
        <f t="array" ref="H148">IF(F148="","",INDEX(Cripto!$A$1:$A$12,G148))</f>
        <v/>
      </c>
    </row>
    <row r="149" spans="2:8">
      <c r="B149" s="25"/>
      <c r="C149" s="16"/>
      <c r="D149" s="18"/>
      <c r="E149" s="26"/>
      <c r="F149" s="27"/>
      <c r="G149" s="28" t="str">
        <f t="shared" si="0"/>
        <v/>
      </c>
      <c r="H149" s="28" t="str">
        <f t="array" ref="H149">IF(F149="","",INDEX(Cripto!$A$1:$A$12,G149))</f>
        <v/>
      </c>
    </row>
    <row r="150" spans="2:8">
      <c r="B150" s="12"/>
      <c r="C150" s="16"/>
      <c r="D150" s="18"/>
      <c r="E150" s="19"/>
      <c r="F150" s="21"/>
      <c r="G150" s="22" t="str">
        <f t="shared" si="0"/>
        <v/>
      </c>
      <c r="H150" s="22" t="str">
        <f t="array" ref="H150">IF(F150="","",INDEX(Cripto!$A$1:$A$12,G150))</f>
        <v/>
      </c>
    </row>
    <row r="151" spans="2:8">
      <c r="B151" s="25"/>
      <c r="C151" s="16"/>
      <c r="D151" s="18"/>
      <c r="E151" s="26"/>
      <c r="F151" s="27"/>
      <c r="G151" s="28" t="str">
        <f t="shared" si="0"/>
        <v/>
      </c>
      <c r="H151" s="28" t="str">
        <f t="array" ref="H151">IF(F151="","",INDEX(Cripto!$A$1:$A$12,G151))</f>
        <v/>
      </c>
    </row>
    <row r="152" spans="2:8">
      <c r="B152" s="12"/>
      <c r="C152" s="16"/>
      <c r="D152" s="18"/>
      <c r="E152" s="19"/>
      <c r="F152" s="21"/>
      <c r="G152" s="22" t="str">
        <f t="shared" si="0"/>
        <v/>
      </c>
      <c r="H152" s="22" t="str">
        <f t="array" ref="H152">IF(F152="","",INDEX(Cripto!$A$1:$A$12,G152))</f>
        <v/>
      </c>
    </row>
    <row r="153" spans="2:8">
      <c r="B153" s="25"/>
      <c r="C153" s="16"/>
      <c r="D153" s="18"/>
      <c r="E153" s="26"/>
      <c r="F153" s="27"/>
      <c r="G153" s="28" t="str">
        <f t="shared" si="0"/>
        <v/>
      </c>
      <c r="H153" s="28" t="str">
        <f t="array" ref="H153">IF(F153="","",INDEX(Cripto!$A$1:$A$12,G153))</f>
        <v/>
      </c>
    </row>
    <row r="154" spans="2:8">
      <c r="B154" s="12"/>
      <c r="C154" s="16"/>
      <c r="D154" s="18"/>
      <c r="E154" s="19"/>
      <c r="F154" s="21"/>
      <c r="G154" s="22" t="str">
        <f t="shared" si="0"/>
        <v/>
      </c>
      <c r="H154" s="22" t="str">
        <f t="array" ref="H154">IF(F154="","",INDEX(Cripto!$A$1:$A$12,G154))</f>
        <v/>
      </c>
    </row>
    <row r="155" spans="2:8">
      <c r="B155" s="25"/>
      <c r="C155" s="16"/>
      <c r="D155" s="18"/>
      <c r="E155" s="26"/>
      <c r="F155" s="27"/>
      <c r="G155" s="28" t="str">
        <f t="shared" si="0"/>
        <v/>
      </c>
      <c r="H155" s="28" t="str">
        <f t="array" ref="H155">IF(F155="","",INDEX(Cripto!$A$1:$A$12,G155))</f>
        <v/>
      </c>
    </row>
    <row r="156" spans="2:8">
      <c r="B156" s="12"/>
      <c r="C156" s="16"/>
      <c r="D156" s="18"/>
      <c r="E156" s="19"/>
      <c r="F156" s="21"/>
      <c r="G156" s="22" t="str">
        <f t="shared" si="0"/>
        <v/>
      </c>
      <c r="H156" s="22" t="str">
        <f t="array" ref="H156">IF(F156="","",INDEX(Cripto!$A$1:$A$12,G156))</f>
        <v/>
      </c>
    </row>
    <row r="157" spans="2:8">
      <c r="B157" s="25"/>
      <c r="C157" s="16"/>
      <c r="D157" s="18"/>
      <c r="E157" s="26"/>
      <c r="F157" s="27"/>
      <c r="G157" s="28" t="str">
        <f t="shared" si="0"/>
        <v/>
      </c>
      <c r="H157" s="28" t="str">
        <f t="array" ref="H157">IF(F157="","",INDEX(Cripto!$A$1:$A$12,G157))</f>
        <v/>
      </c>
    </row>
    <row r="158" spans="2:8">
      <c r="B158" s="12"/>
      <c r="C158" s="16"/>
      <c r="D158" s="18"/>
      <c r="E158" s="19"/>
      <c r="F158" s="21"/>
      <c r="G158" s="22" t="str">
        <f t="shared" si="0"/>
        <v/>
      </c>
      <c r="H158" s="22" t="str">
        <f t="array" ref="H158">IF(F158="","",INDEX(Cripto!$A$1:$A$12,G158))</f>
        <v/>
      </c>
    </row>
    <row r="159" spans="2:8">
      <c r="B159" s="25"/>
      <c r="C159" s="16"/>
      <c r="D159" s="18"/>
      <c r="E159" s="26"/>
      <c r="F159" s="27"/>
      <c r="G159" s="28" t="str">
        <f t="shared" si="0"/>
        <v/>
      </c>
      <c r="H159" s="28" t="str">
        <f t="array" ref="H159">IF(F159="","",INDEX(Cripto!$A$1:$A$12,G159))</f>
        <v/>
      </c>
    </row>
    <row r="160" spans="2:8">
      <c r="B160" s="12"/>
      <c r="C160" s="16"/>
      <c r="D160" s="18"/>
      <c r="E160" s="19"/>
      <c r="F160" s="21"/>
      <c r="G160" s="22" t="str">
        <f t="shared" si="0"/>
        <v/>
      </c>
      <c r="H160" s="22" t="str">
        <f t="array" ref="H160">IF(F160="","",INDEX(Cripto!$A$1:$A$12,G160))</f>
        <v/>
      </c>
    </row>
    <row r="161" spans="2:8">
      <c r="B161" s="25"/>
      <c r="C161" s="16"/>
      <c r="D161" s="18"/>
      <c r="E161" s="26"/>
      <c r="F161" s="27"/>
      <c r="G161" s="28" t="str">
        <f t="shared" si="0"/>
        <v/>
      </c>
      <c r="H161" s="28" t="str">
        <f t="array" ref="H161">IF(F161="","",INDEX(Cripto!$A$1:$A$12,G161))</f>
        <v/>
      </c>
    </row>
    <row r="162" spans="2:8">
      <c r="B162" s="12"/>
      <c r="C162" s="16"/>
      <c r="D162" s="18"/>
      <c r="E162" s="19"/>
      <c r="F162" s="21"/>
      <c r="G162" s="22" t="str">
        <f t="shared" si="0"/>
        <v/>
      </c>
      <c r="H162" s="22" t="str">
        <f t="array" ref="H162">IF(F162="","",INDEX(Cripto!$A$1:$A$12,G162))</f>
        <v/>
      </c>
    </row>
    <row r="163" spans="2:8">
      <c r="B163" s="25"/>
      <c r="C163" s="16"/>
      <c r="D163" s="18"/>
      <c r="E163" s="26"/>
      <c r="F163" s="27"/>
      <c r="G163" s="28" t="str">
        <f t="shared" si="0"/>
        <v/>
      </c>
      <c r="H163" s="28" t="str">
        <f t="array" ref="H163">IF(F163="","",INDEX(Cripto!$A$1:$A$12,G163))</f>
        <v/>
      </c>
    </row>
    <row r="164" spans="2:8">
      <c r="B164" s="12"/>
      <c r="C164" s="16"/>
      <c r="D164" s="18"/>
      <c r="E164" s="19"/>
      <c r="F164" s="21"/>
      <c r="G164" s="22" t="str">
        <f t="shared" si="0"/>
        <v/>
      </c>
      <c r="H164" s="22" t="str">
        <f t="array" ref="H164">IF(F164="","",INDEX(Cripto!$A$1:$A$12,G164))</f>
        <v/>
      </c>
    </row>
    <row r="165" spans="2:8">
      <c r="B165" s="25"/>
      <c r="C165" s="16"/>
      <c r="D165" s="18"/>
      <c r="E165" s="26"/>
      <c r="F165" s="27"/>
      <c r="G165" s="28" t="str">
        <f t="shared" si="0"/>
        <v/>
      </c>
      <c r="H165" s="28" t="str">
        <f t="array" ref="H165">IF(F165="","",INDEX(Cripto!$A$1:$A$12,G165))</f>
        <v/>
      </c>
    </row>
    <row r="166" spans="2:8">
      <c r="B166" s="12"/>
      <c r="C166" s="16"/>
      <c r="D166" s="18"/>
      <c r="E166" s="19"/>
      <c r="F166" s="21"/>
      <c r="G166" s="22" t="str">
        <f t="shared" si="0"/>
        <v/>
      </c>
      <c r="H166" s="22" t="str">
        <f t="array" ref="H166">IF(F166="","",INDEX(Cripto!$A$1:$A$12,G166))</f>
        <v/>
      </c>
    </row>
    <row r="167" spans="2:8">
      <c r="B167" s="25"/>
      <c r="C167" s="16"/>
      <c r="D167" s="18"/>
      <c r="E167" s="26"/>
      <c r="F167" s="27"/>
      <c r="G167" s="28" t="str">
        <f t="shared" si="0"/>
        <v/>
      </c>
      <c r="H167" s="28" t="str">
        <f t="array" ref="H167">IF(F167="","",INDEX(Cripto!$A$1:$A$12,G167))</f>
        <v/>
      </c>
    </row>
    <row r="168" spans="2:8">
      <c r="B168" s="12"/>
      <c r="C168" s="16"/>
      <c r="D168" s="18"/>
      <c r="E168" s="19"/>
      <c r="F168" s="21"/>
      <c r="G168" s="22" t="str">
        <f t="shared" si="0"/>
        <v/>
      </c>
      <c r="H168" s="22" t="str">
        <f t="array" ref="H168">IF(F168="","",INDEX(Cripto!$A$1:$A$12,G168))</f>
        <v/>
      </c>
    </row>
    <row r="169" spans="2:8">
      <c r="B169" s="25"/>
      <c r="C169" s="16"/>
      <c r="D169" s="18"/>
      <c r="E169" s="26"/>
      <c r="F169" s="27"/>
      <c r="G169" s="28" t="str">
        <f t="shared" si="0"/>
        <v/>
      </c>
      <c r="H169" s="28" t="str">
        <f t="array" ref="H169">IF(F169="","",INDEX(Cripto!$A$1:$A$12,G169))</f>
        <v/>
      </c>
    </row>
    <row r="170" spans="2:8">
      <c r="B170" s="12"/>
      <c r="C170" s="16"/>
      <c r="D170" s="18"/>
      <c r="E170" s="19"/>
      <c r="F170" s="21"/>
      <c r="G170" s="22" t="str">
        <f t="shared" si="0"/>
        <v/>
      </c>
      <c r="H170" s="22" t="str">
        <f t="array" ref="H170">IF(F170="","",INDEX(Cripto!$A$1:$A$12,G170))</f>
        <v/>
      </c>
    </row>
    <row r="171" spans="2:8">
      <c r="B171" s="25"/>
      <c r="C171" s="16"/>
      <c r="D171" s="18"/>
      <c r="E171" s="26"/>
      <c r="F171" s="27"/>
      <c r="G171" s="28" t="str">
        <f t="shared" si="0"/>
        <v/>
      </c>
      <c r="H171" s="28" t="str">
        <f t="array" ref="H171">IF(F171="","",INDEX(Cripto!$A$1:$A$12,G171))</f>
        <v/>
      </c>
    </row>
    <row r="172" spans="2:8">
      <c r="B172" s="12"/>
      <c r="C172" s="16"/>
      <c r="D172" s="18"/>
      <c r="E172" s="19"/>
      <c r="F172" s="21"/>
      <c r="G172" s="22" t="str">
        <f t="shared" si="0"/>
        <v/>
      </c>
      <c r="H172" s="22" t="str">
        <f t="array" ref="H172">IF(F172="","",INDEX(Cripto!$A$1:$A$12,G172))</f>
        <v/>
      </c>
    </row>
    <row r="173" spans="2:8">
      <c r="B173" s="25"/>
      <c r="C173" s="16"/>
      <c r="D173" s="18"/>
      <c r="E173" s="26"/>
      <c r="F173" s="27"/>
      <c r="G173" s="28" t="str">
        <f t="shared" si="0"/>
        <v/>
      </c>
      <c r="H173" s="28" t="str">
        <f t="array" ref="H173">IF(F173="","",INDEX(Cripto!$A$1:$A$12,G173))</f>
        <v/>
      </c>
    </row>
    <row r="174" spans="2:8">
      <c r="B174" s="12"/>
      <c r="C174" s="16"/>
      <c r="D174" s="18"/>
      <c r="E174" s="19"/>
      <c r="F174" s="21"/>
      <c r="G174" s="22" t="str">
        <f t="shared" si="0"/>
        <v/>
      </c>
      <c r="H174" s="22" t="str">
        <f t="array" ref="H174">IF(F174="","",INDEX(Cripto!$A$1:$A$12,G174))</f>
        <v/>
      </c>
    </row>
    <row r="175" spans="2:8">
      <c r="B175" s="25"/>
      <c r="C175" s="16"/>
      <c r="D175" s="18"/>
      <c r="E175" s="26"/>
      <c r="F175" s="27"/>
      <c r="G175" s="28" t="str">
        <f t="shared" si="0"/>
        <v/>
      </c>
      <c r="H175" s="28" t="str">
        <f t="array" ref="H175">IF(F175="","",INDEX(Cripto!$A$1:$A$12,G175))</f>
        <v/>
      </c>
    </row>
    <row r="176" spans="2:8">
      <c r="B176" s="12"/>
      <c r="C176" s="16"/>
      <c r="D176" s="18"/>
      <c r="E176" s="19"/>
      <c r="F176" s="21"/>
      <c r="G176" s="22" t="str">
        <f t="shared" si="0"/>
        <v/>
      </c>
      <c r="H176" s="22" t="str">
        <f t="array" ref="H176">IF(F176="","",INDEX(Cripto!$A$1:$A$12,G176))</f>
        <v/>
      </c>
    </row>
    <row r="177" spans="2:8">
      <c r="B177" s="25"/>
      <c r="C177" s="16"/>
      <c r="D177" s="18"/>
      <c r="E177" s="26"/>
      <c r="F177" s="27"/>
      <c r="G177" s="28" t="str">
        <f t="shared" si="0"/>
        <v/>
      </c>
      <c r="H177" s="28" t="str">
        <f t="array" ref="H177">IF(F177="","",INDEX(Cripto!$A$1:$A$12,G177))</f>
        <v/>
      </c>
    </row>
    <row r="178" spans="2:8">
      <c r="B178" s="12"/>
      <c r="C178" s="16"/>
      <c r="D178" s="18"/>
      <c r="E178" s="19"/>
      <c r="F178" s="21"/>
      <c r="G178" s="22" t="str">
        <f t="shared" si="0"/>
        <v/>
      </c>
      <c r="H178" s="22" t="str">
        <f t="array" ref="H178">IF(F178="","",INDEX(Cripto!$A$1:$A$12,G178))</f>
        <v/>
      </c>
    </row>
    <row r="179" spans="2:8">
      <c r="B179" s="25"/>
      <c r="C179" s="16"/>
      <c r="D179" s="18"/>
      <c r="E179" s="26"/>
      <c r="F179" s="27"/>
      <c r="G179" s="28" t="str">
        <f t="shared" si="0"/>
        <v/>
      </c>
      <c r="H179" s="28" t="str">
        <f t="array" ref="H179">IF(F179="","",INDEX(Cripto!$A$1:$A$12,G179))</f>
        <v/>
      </c>
    </row>
    <row r="180" spans="2:8">
      <c r="B180" s="12"/>
      <c r="C180" s="16"/>
      <c r="D180" s="18"/>
      <c r="E180" s="19"/>
      <c r="F180" s="21"/>
      <c r="G180" s="22" t="str">
        <f t="shared" si="0"/>
        <v/>
      </c>
      <c r="H180" s="22" t="str">
        <f t="array" ref="H180">IF(F180="","",INDEX(Cripto!$A$1:$A$12,G180))</f>
        <v/>
      </c>
    </row>
    <row r="181" spans="2:8">
      <c r="B181" s="25"/>
      <c r="C181" s="16"/>
      <c r="D181" s="18"/>
      <c r="E181" s="26"/>
      <c r="F181" s="27"/>
      <c r="G181" s="28" t="str">
        <f t="shared" si="0"/>
        <v/>
      </c>
      <c r="H181" s="28" t="str">
        <f t="array" ref="H181">IF(F181="","",INDEX(Cripto!$A$1:$A$12,G181))</f>
        <v/>
      </c>
    </row>
    <row r="182" spans="2:8">
      <c r="B182" s="12"/>
      <c r="C182" s="16"/>
      <c r="D182" s="18"/>
      <c r="E182" s="19"/>
      <c r="F182" s="21"/>
      <c r="G182" s="22" t="str">
        <f t="shared" si="0"/>
        <v/>
      </c>
      <c r="H182" s="22" t="str">
        <f t="array" ref="H182">IF(F182="","",INDEX(Cripto!$A$1:$A$12,G182))</f>
        <v/>
      </c>
    </row>
    <row r="183" spans="2:8">
      <c r="B183" s="25"/>
      <c r="C183" s="16"/>
      <c r="D183" s="18"/>
      <c r="E183" s="26"/>
      <c r="F183" s="27"/>
      <c r="G183" s="28" t="str">
        <f t="shared" si="0"/>
        <v/>
      </c>
      <c r="H183" s="28" t="str">
        <f t="array" ref="H183">IF(F183="","",INDEX(Cripto!$A$1:$A$12,G183))</f>
        <v/>
      </c>
    </row>
    <row r="184" spans="2:8">
      <c r="B184" s="12"/>
      <c r="C184" s="16"/>
      <c r="D184" s="18"/>
      <c r="E184" s="19"/>
      <c r="F184" s="21"/>
      <c r="G184" s="22" t="str">
        <f t="shared" si="0"/>
        <v/>
      </c>
      <c r="H184" s="22" t="str">
        <f t="array" ref="H184">IF(F184="","",INDEX(Cripto!$A$1:$A$12,G184))</f>
        <v/>
      </c>
    </row>
    <row r="185" spans="2:8">
      <c r="B185" s="25"/>
      <c r="C185" s="16"/>
      <c r="D185" s="18"/>
      <c r="E185" s="26"/>
      <c r="F185" s="27"/>
      <c r="G185" s="28" t="str">
        <f t="shared" si="0"/>
        <v/>
      </c>
      <c r="H185" s="28" t="str">
        <f t="array" ref="H185">IF(F185="","",INDEX(Cripto!$A$1:$A$12,G185))</f>
        <v/>
      </c>
    </row>
    <row r="186" spans="2:8">
      <c r="B186" s="12"/>
      <c r="C186" s="16"/>
      <c r="D186" s="18"/>
      <c r="E186" s="19"/>
      <c r="F186" s="21"/>
      <c r="G186" s="22" t="str">
        <f t="shared" si="0"/>
        <v/>
      </c>
      <c r="H186" s="22" t="str">
        <f t="array" ref="H186">IF(F186="","",INDEX(Cripto!$A$1:$A$12,G186))</f>
        <v/>
      </c>
    </row>
    <row r="187" spans="2:8">
      <c r="B187" s="25"/>
      <c r="C187" s="16"/>
      <c r="D187" s="18"/>
      <c r="E187" s="26"/>
      <c r="F187" s="27"/>
      <c r="G187" s="28" t="str">
        <f t="shared" si="0"/>
        <v/>
      </c>
      <c r="H187" s="28" t="str">
        <f t="array" ref="H187">IF(F187="","",INDEX(Cripto!$A$1:$A$12,G187))</f>
        <v/>
      </c>
    </row>
    <row r="188" spans="2:8">
      <c r="B188" s="12"/>
      <c r="C188" s="16"/>
      <c r="D188" s="18"/>
      <c r="E188" s="19"/>
      <c r="F188" s="21"/>
      <c r="G188" s="22" t="str">
        <f t="shared" si="0"/>
        <v/>
      </c>
      <c r="H188" s="22" t="str">
        <f t="array" ref="H188">IF(F188="","",INDEX(Cripto!$A$1:$A$12,G188))</f>
        <v/>
      </c>
    </row>
    <row r="189" spans="2:8">
      <c r="B189" s="25"/>
      <c r="C189" s="16"/>
      <c r="D189" s="18"/>
      <c r="E189" s="26"/>
      <c r="F189" s="27"/>
      <c r="G189" s="28" t="str">
        <f t="shared" si="0"/>
        <v/>
      </c>
      <c r="H189" s="28" t="str">
        <f t="array" ref="H189">IF(F189="","",INDEX(Cripto!$A$1:$A$12,G189))</f>
        <v/>
      </c>
    </row>
    <row r="190" spans="2:8">
      <c r="B190" s="12"/>
      <c r="C190" s="16"/>
      <c r="D190" s="18"/>
      <c r="E190" s="19"/>
      <c r="F190" s="21"/>
      <c r="G190" s="22" t="str">
        <f t="shared" si="0"/>
        <v/>
      </c>
      <c r="H190" s="22" t="str">
        <f t="array" ref="H190">IF(F190="","",INDEX(Cripto!$A$1:$A$12,G190))</f>
        <v/>
      </c>
    </row>
    <row r="191" spans="2:8">
      <c r="B191" s="25"/>
      <c r="C191" s="16"/>
      <c r="D191" s="18"/>
      <c r="E191" s="26"/>
      <c r="F191" s="27"/>
      <c r="G191" s="28" t="str">
        <f t="shared" si="0"/>
        <v/>
      </c>
      <c r="H191" s="28" t="str">
        <f t="array" ref="H191">IF(F191="","",INDEX(Cripto!$A$1:$A$12,G191))</f>
        <v/>
      </c>
    </row>
    <row r="192" spans="2:8">
      <c r="B192" s="12"/>
      <c r="C192" s="16"/>
      <c r="D192" s="18"/>
      <c r="E192" s="19"/>
      <c r="F192" s="21"/>
      <c r="G192" s="22" t="str">
        <f t="shared" si="0"/>
        <v/>
      </c>
      <c r="H192" s="22" t="str">
        <f t="array" ref="H192">IF(F192="","",INDEX(Cripto!$A$1:$A$12,G192))</f>
        <v/>
      </c>
    </row>
    <row r="193" spans="2:8">
      <c r="B193" s="25"/>
      <c r="C193" s="16"/>
      <c r="D193" s="18"/>
      <c r="E193" s="26"/>
      <c r="F193" s="27"/>
      <c r="G193" s="28" t="str">
        <f t="shared" si="0"/>
        <v/>
      </c>
      <c r="H193" s="28" t="str">
        <f t="array" ref="H193">IF(F193="","",INDEX(Cripto!$A$1:$A$12,G193))</f>
        <v/>
      </c>
    </row>
    <row r="194" spans="2:8">
      <c r="B194" s="12"/>
      <c r="C194" s="16"/>
      <c r="D194" s="18"/>
      <c r="E194" s="19"/>
      <c r="F194" s="21"/>
      <c r="G194" s="22" t="str">
        <f t="shared" si="0"/>
        <v/>
      </c>
      <c r="H194" s="22" t="str">
        <f t="array" ref="H194">IF(F194="","",INDEX(Cripto!$A$1:$A$12,G194))</f>
        <v/>
      </c>
    </row>
    <row r="195" spans="2:8">
      <c r="B195" s="25"/>
      <c r="C195" s="16"/>
      <c r="D195" s="18"/>
      <c r="E195" s="26"/>
      <c r="F195" s="27"/>
      <c r="G195" s="28" t="str">
        <f t="shared" si="0"/>
        <v/>
      </c>
      <c r="H195" s="28" t="str">
        <f t="array" ref="H195">IF(F195="","",INDEX(Cripto!$A$1:$A$12,G195))</f>
        <v/>
      </c>
    </row>
    <row r="196" spans="2:8">
      <c r="B196" s="12"/>
      <c r="C196" s="16"/>
      <c r="D196" s="18"/>
      <c r="E196" s="19"/>
      <c r="F196" s="21"/>
      <c r="G196" s="22" t="str">
        <f t="shared" si="0"/>
        <v/>
      </c>
      <c r="H196" s="22" t="str">
        <f t="array" ref="H196">IF(F196="","",INDEX(Cripto!$A$1:$A$12,G196))</f>
        <v/>
      </c>
    </row>
    <row r="197" spans="2:8">
      <c r="B197" s="25"/>
      <c r="C197" s="16"/>
      <c r="D197" s="18"/>
      <c r="E197" s="26"/>
      <c r="F197" s="27"/>
      <c r="G197" s="28" t="str">
        <f t="shared" si="0"/>
        <v/>
      </c>
      <c r="H197" s="28" t="str">
        <f t="array" ref="H197">IF(F197="","",INDEX(Cripto!$A$1:$A$12,G197))</f>
        <v/>
      </c>
    </row>
    <row r="198" spans="2:8">
      <c r="B198" s="12"/>
      <c r="C198" s="16"/>
      <c r="D198" s="18"/>
      <c r="E198" s="19"/>
      <c r="F198" s="21"/>
      <c r="G198" s="22" t="str">
        <f t="shared" si="0"/>
        <v/>
      </c>
      <c r="H198" s="22" t="str">
        <f t="array" ref="H198">IF(F198="","",INDEX(Cripto!$A$1:$A$12,G198))</f>
        <v/>
      </c>
    </row>
    <row r="199" spans="2:8">
      <c r="B199" s="25"/>
      <c r="C199" s="16"/>
      <c r="D199" s="18"/>
      <c r="E199" s="26"/>
      <c r="F199" s="27"/>
      <c r="G199" s="28" t="str">
        <f t="shared" si="0"/>
        <v/>
      </c>
      <c r="H199" s="28" t="str">
        <f t="array" ref="H199">IF(F199="","",INDEX(Cripto!$A$1:$A$12,G199))</f>
        <v/>
      </c>
    </row>
    <row r="200" spans="2:8">
      <c r="B200" s="12"/>
      <c r="C200" s="16"/>
      <c r="D200" s="18"/>
      <c r="E200" s="19"/>
      <c r="F200" s="21"/>
      <c r="G200" s="22" t="str">
        <f t="shared" si="0"/>
        <v/>
      </c>
      <c r="H200" s="22" t="str">
        <f t="array" ref="H200">IF(F200="","",INDEX(Cripto!$A$1:$A$12,G200))</f>
        <v/>
      </c>
    </row>
    <row r="201" spans="2:8">
      <c r="B201" s="25"/>
      <c r="C201" s="16"/>
      <c r="D201" s="18"/>
      <c r="E201" s="26"/>
      <c r="F201" s="27"/>
      <c r="G201" s="28" t="str">
        <f t="shared" si="0"/>
        <v/>
      </c>
      <c r="H201" s="28" t="str">
        <f t="array" ref="H201">IF(F201="","",INDEX(Cripto!$A$1:$A$12,G201))</f>
        <v/>
      </c>
    </row>
    <row r="202" spans="2:8">
      <c r="B202" s="12"/>
      <c r="C202" s="16"/>
      <c r="D202" s="18"/>
      <c r="E202" s="19"/>
      <c r="F202" s="21"/>
      <c r="G202" s="22" t="str">
        <f t="shared" si="0"/>
        <v/>
      </c>
      <c r="H202" s="22" t="str">
        <f t="array" ref="H202">IF(F202="","",INDEX(Cripto!$A$1:$A$12,G202))</f>
        <v/>
      </c>
    </row>
    <row r="203" spans="2:8">
      <c r="B203" s="25"/>
      <c r="C203" s="16"/>
      <c r="D203" s="18"/>
      <c r="E203" s="26"/>
      <c r="F203" s="27"/>
      <c r="G203" s="28" t="str">
        <f t="shared" si="0"/>
        <v/>
      </c>
      <c r="H203" s="28" t="str">
        <f t="array" ref="H203">IF(F203="","",INDEX(Cripto!$A$1:$A$12,G203))</f>
        <v/>
      </c>
    </row>
    <row r="204" spans="2:8">
      <c r="B204" s="12"/>
      <c r="C204" s="16"/>
      <c r="D204" s="18"/>
      <c r="E204" s="19"/>
      <c r="F204" s="21"/>
      <c r="G204" s="22" t="str">
        <f t="shared" si="0"/>
        <v/>
      </c>
      <c r="H204" s="22" t="str">
        <f t="array" ref="H204">IF(F204="","",INDEX(Cripto!$A$1:$A$12,G204))</f>
        <v/>
      </c>
    </row>
    <row r="205" spans="2:8">
      <c r="B205" s="25"/>
      <c r="C205" s="16"/>
      <c r="D205" s="18"/>
      <c r="E205" s="26"/>
      <c r="F205" s="27"/>
      <c r="G205" s="28" t="str">
        <f t="shared" si="0"/>
        <v/>
      </c>
      <c r="H205" s="28" t="str">
        <f t="array" ref="H205">IF(F205="","",INDEX(Cripto!$A$1:$A$12,G205))</f>
        <v/>
      </c>
    </row>
    <row r="206" spans="2:8">
      <c r="B206" s="12"/>
      <c r="C206" s="16"/>
      <c r="D206" s="18"/>
      <c r="E206" s="19"/>
      <c r="F206" s="21"/>
      <c r="G206" s="22" t="str">
        <f t="shared" si="0"/>
        <v/>
      </c>
      <c r="H206" s="22" t="str">
        <f t="array" ref="H206">IF(F206="","",INDEX(Cripto!$A$1:$A$12,G206))</f>
        <v/>
      </c>
    </row>
    <row r="207" spans="2:8">
      <c r="B207" s="25"/>
      <c r="C207" s="16"/>
      <c r="D207" s="18"/>
      <c r="E207" s="26"/>
      <c r="F207" s="27"/>
      <c r="G207" s="28" t="str">
        <f t="shared" si="0"/>
        <v/>
      </c>
      <c r="H207" s="28" t="str">
        <f t="array" ref="H207">IF(F207="","",INDEX(Cripto!$A$1:$A$12,G207))</f>
        <v/>
      </c>
    </row>
    <row r="208" spans="2:8">
      <c r="B208" s="12"/>
      <c r="C208" s="16"/>
      <c r="D208" s="18"/>
      <c r="E208" s="19"/>
      <c r="F208" s="21"/>
      <c r="G208" s="22" t="str">
        <f t="shared" si="0"/>
        <v/>
      </c>
      <c r="H208" s="22" t="str">
        <f t="array" ref="H208">IF(F208="","",INDEX(Cripto!$A$1:$A$12,G208))</f>
        <v/>
      </c>
    </row>
    <row r="209" spans="2:8">
      <c r="B209" s="25"/>
      <c r="C209" s="16"/>
      <c r="D209" s="18"/>
      <c r="E209" s="26"/>
      <c r="F209" s="27"/>
      <c r="G209" s="28" t="str">
        <f t="shared" si="0"/>
        <v/>
      </c>
      <c r="H209" s="28" t="str">
        <f t="array" ref="H209">IF(F209="","",INDEX(Cripto!$A$1:$A$12,G209))</f>
        <v/>
      </c>
    </row>
    <row r="210" spans="2:8">
      <c r="B210" s="12"/>
      <c r="C210" s="16"/>
      <c r="D210" s="18"/>
      <c r="E210" s="19"/>
      <c r="F210" s="21"/>
      <c r="G210" s="22" t="str">
        <f t="shared" si="0"/>
        <v/>
      </c>
      <c r="H210" s="22" t="str">
        <f t="array" ref="H210">IF(F210="","",INDEX(Cripto!$A$1:$A$12,G210))</f>
        <v/>
      </c>
    </row>
    <row r="211" spans="2:8">
      <c r="B211" s="25"/>
      <c r="C211" s="16"/>
      <c r="D211" s="18"/>
      <c r="E211" s="26"/>
      <c r="F211" s="27"/>
      <c r="G211" s="28" t="str">
        <f t="shared" si="0"/>
        <v/>
      </c>
      <c r="H211" s="28" t="str">
        <f t="array" ref="H211">IF(F211="","",INDEX(Cripto!$A$1:$A$12,G211))</f>
        <v/>
      </c>
    </row>
    <row r="212" spans="2:8">
      <c r="B212" s="12"/>
      <c r="C212" s="16"/>
      <c r="D212" s="18"/>
      <c r="E212" s="19"/>
      <c r="F212" s="21"/>
      <c r="G212" s="22" t="str">
        <f t="shared" si="0"/>
        <v/>
      </c>
      <c r="H212" s="22" t="str">
        <f t="array" ref="H212">IF(F212="","",INDEX(Cripto!$A$1:$A$12,G212))</f>
        <v/>
      </c>
    </row>
    <row r="213" spans="2:8">
      <c r="B213" s="25"/>
      <c r="C213" s="16"/>
      <c r="D213" s="18"/>
      <c r="E213" s="26"/>
      <c r="F213" s="27"/>
      <c r="G213" s="28" t="str">
        <f t="shared" si="0"/>
        <v/>
      </c>
      <c r="H213" s="28" t="str">
        <f t="array" ref="H213">IF(F213="","",INDEX(Cripto!$A$1:$A$12,G213))</f>
        <v/>
      </c>
    </row>
    <row r="214" spans="2:8">
      <c r="B214" s="12"/>
      <c r="C214" s="16"/>
      <c r="D214" s="18"/>
      <c r="E214" s="19"/>
      <c r="F214" s="21"/>
      <c r="G214" s="22" t="str">
        <f t="shared" si="0"/>
        <v/>
      </c>
      <c r="H214" s="22" t="str">
        <f t="array" ref="H214">IF(F214="","",INDEX(Cripto!$A$1:$A$12,G214))</f>
        <v/>
      </c>
    </row>
    <row r="215" spans="2:8">
      <c r="B215" s="25"/>
      <c r="C215" s="16"/>
      <c r="D215" s="18"/>
      <c r="E215" s="26"/>
      <c r="F215" s="27"/>
      <c r="G215" s="28" t="str">
        <f t="shared" si="0"/>
        <v/>
      </c>
      <c r="H215" s="28" t="str">
        <f t="array" ref="H215">IF(F215="","",INDEX(Cripto!$A$1:$A$12,G215))</f>
        <v/>
      </c>
    </row>
    <row r="216" spans="2:8">
      <c r="B216" s="12"/>
      <c r="C216" s="16"/>
      <c r="D216" s="18"/>
      <c r="E216" s="19"/>
      <c r="F216" s="21"/>
      <c r="G216" s="22" t="str">
        <f t="shared" si="0"/>
        <v/>
      </c>
      <c r="H216" s="22" t="str">
        <f t="array" ref="H216">IF(F216="","",INDEX(Cripto!$A$1:$A$12,G216))</f>
        <v/>
      </c>
    </row>
    <row r="217" spans="2:8">
      <c r="B217" s="25"/>
      <c r="C217" s="16"/>
      <c r="D217" s="18"/>
      <c r="E217" s="26"/>
      <c r="F217" s="27"/>
      <c r="G217" s="28" t="str">
        <f t="shared" si="0"/>
        <v/>
      </c>
      <c r="H217" s="28" t="str">
        <f t="array" ref="H217">IF(F217="","",INDEX(Cripto!$A$1:$A$12,G217))</f>
        <v/>
      </c>
    </row>
    <row r="218" spans="2:8">
      <c r="B218" s="12"/>
      <c r="C218" s="16"/>
      <c r="D218" s="18"/>
      <c r="E218" s="19"/>
      <c r="F218" s="21"/>
      <c r="G218" s="22" t="str">
        <f t="shared" si="0"/>
        <v/>
      </c>
      <c r="H218" s="22" t="str">
        <f t="array" ref="H218">IF(F218="","",INDEX(Cripto!$A$1:$A$12,G218))</f>
        <v/>
      </c>
    </row>
    <row r="219" spans="2:8">
      <c r="B219" s="25"/>
      <c r="C219" s="16"/>
      <c r="D219" s="18"/>
      <c r="E219" s="26"/>
      <c r="F219" s="27"/>
      <c r="G219" s="28" t="str">
        <f t="shared" si="0"/>
        <v/>
      </c>
      <c r="H219" s="28" t="str">
        <f t="array" ref="H219">IF(F219="","",INDEX(Cripto!$A$1:$A$12,G219))</f>
        <v/>
      </c>
    </row>
    <row r="220" spans="2:8">
      <c r="B220" s="12"/>
      <c r="C220" s="16"/>
      <c r="D220" s="18"/>
      <c r="E220" s="19"/>
      <c r="F220" s="21"/>
      <c r="G220" s="22" t="str">
        <f t="shared" si="0"/>
        <v/>
      </c>
      <c r="H220" s="22" t="str">
        <f t="array" ref="H220">IF(F220="","",INDEX(Cripto!$A$1:$A$12,G220))</f>
        <v/>
      </c>
    </row>
    <row r="221" spans="2:8">
      <c r="B221" s="25"/>
      <c r="C221" s="16"/>
      <c r="D221" s="18"/>
      <c r="E221" s="26"/>
      <c r="F221" s="27"/>
      <c r="G221" s="28" t="str">
        <f t="shared" si="0"/>
        <v/>
      </c>
      <c r="H221" s="28" t="str">
        <f t="array" ref="H221">IF(F221="","",INDEX(Cripto!$A$1:$A$12,G221))</f>
        <v/>
      </c>
    </row>
    <row r="222" spans="2:8">
      <c r="B222" s="12"/>
      <c r="C222" s="16"/>
      <c r="D222" s="18"/>
      <c r="E222" s="19"/>
      <c r="F222" s="21"/>
      <c r="G222" s="22" t="str">
        <f t="shared" si="0"/>
        <v/>
      </c>
      <c r="H222" s="22" t="str">
        <f t="array" ref="H222">IF(F222="","",INDEX(Cripto!$A$1:$A$12,G222))</f>
        <v/>
      </c>
    </row>
    <row r="223" spans="2:8">
      <c r="B223" s="25"/>
      <c r="C223" s="16"/>
      <c r="D223" s="18"/>
      <c r="E223" s="26"/>
      <c r="F223" s="27"/>
      <c r="G223" s="28" t="str">
        <f t="shared" si="0"/>
        <v/>
      </c>
      <c r="H223" s="28" t="str">
        <f t="array" ref="H223">IF(F223="","",INDEX(Cripto!$A$1:$A$12,G223))</f>
        <v/>
      </c>
    </row>
    <row r="224" spans="2:8">
      <c r="B224" s="12"/>
      <c r="C224" s="16"/>
      <c r="D224" s="18"/>
      <c r="E224" s="19"/>
      <c r="F224" s="21"/>
      <c r="G224" s="22" t="str">
        <f t="shared" si="0"/>
        <v/>
      </c>
      <c r="H224" s="22" t="str">
        <f t="array" ref="H224">IF(F224="","",INDEX(Cripto!$A$1:$A$12,G224))</f>
        <v/>
      </c>
    </row>
    <row r="225" spans="2:8">
      <c r="B225" s="25"/>
      <c r="C225" s="16"/>
      <c r="D225" s="18"/>
      <c r="E225" s="26"/>
      <c r="F225" s="27"/>
      <c r="G225" s="28" t="str">
        <f t="shared" si="0"/>
        <v/>
      </c>
      <c r="H225" s="28" t="str">
        <f t="array" ref="H225">IF(F225="","",INDEX(Cripto!$A$1:$A$12,G225))</f>
        <v/>
      </c>
    </row>
    <row r="226" spans="2:8">
      <c r="B226" s="12"/>
      <c r="C226" s="16"/>
      <c r="D226" s="18"/>
      <c r="E226" s="19"/>
      <c r="F226" s="21"/>
      <c r="G226" s="22" t="str">
        <f t="shared" si="0"/>
        <v/>
      </c>
      <c r="H226" s="22" t="str">
        <f t="array" ref="H226">IF(F226="","",INDEX(Cripto!$A$1:$A$12,G226))</f>
        <v/>
      </c>
    </row>
    <row r="227" spans="2:8">
      <c r="B227" s="25"/>
      <c r="C227" s="16"/>
      <c r="D227" s="18"/>
      <c r="E227" s="26"/>
      <c r="F227" s="27"/>
      <c r="G227" s="28" t="str">
        <f t="shared" si="0"/>
        <v/>
      </c>
      <c r="H227" s="28" t="str">
        <f t="array" ref="H227">IF(F227="","",INDEX(Cripto!$A$1:$A$12,G227))</f>
        <v/>
      </c>
    </row>
    <row r="228" spans="2:8">
      <c r="B228" s="12"/>
      <c r="C228" s="16"/>
      <c r="D228" s="18"/>
      <c r="E228" s="19"/>
      <c r="F228" s="21"/>
      <c r="G228" s="22" t="str">
        <f t="shared" si="0"/>
        <v/>
      </c>
      <c r="H228" s="22" t="str">
        <f t="array" ref="H228">IF(F228="","",INDEX(Cripto!$A$1:$A$12,G228))</f>
        <v/>
      </c>
    </row>
    <row r="229" spans="2:8">
      <c r="B229" s="25"/>
      <c r="C229" s="16"/>
      <c r="D229" s="18"/>
      <c r="E229" s="26"/>
      <c r="F229" s="27"/>
      <c r="G229" s="28" t="str">
        <f t="shared" si="0"/>
        <v/>
      </c>
      <c r="H229" s="28" t="str">
        <f t="array" ref="H229">IF(F229="","",INDEX(Cripto!$A$1:$A$12,G229))</f>
        <v/>
      </c>
    </row>
    <row r="230" spans="2:8">
      <c r="B230" s="12"/>
      <c r="C230" s="16"/>
      <c r="D230" s="18"/>
      <c r="E230" s="19"/>
      <c r="F230" s="21"/>
      <c r="G230" s="22" t="str">
        <f t="shared" si="0"/>
        <v/>
      </c>
      <c r="H230" s="22" t="str">
        <f t="array" ref="H230">IF(F230="","",INDEX(Cripto!$A$1:$A$12,G230))</f>
        <v/>
      </c>
    </row>
    <row r="231" spans="2:8">
      <c r="B231" s="25"/>
      <c r="C231" s="16"/>
      <c r="D231" s="18"/>
      <c r="E231" s="26"/>
      <c r="F231" s="27"/>
      <c r="G231" s="28" t="str">
        <f t="shared" si="0"/>
        <v/>
      </c>
      <c r="H231" s="28" t="str">
        <f t="array" ref="H231">IF(F231="","",INDEX(Cripto!$A$1:$A$12,G231))</f>
        <v/>
      </c>
    </row>
    <row r="232" spans="2:8">
      <c r="B232" s="12"/>
      <c r="C232" s="16"/>
      <c r="D232" s="18"/>
      <c r="E232" s="19"/>
      <c r="F232" s="21"/>
      <c r="G232" s="22" t="str">
        <f t="shared" si="0"/>
        <v/>
      </c>
      <c r="H232" s="22" t="str">
        <f t="array" ref="H232">IF(F232="","",INDEX(Cripto!$A$1:$A$12,G232))</f>
        <v/>
      </c>
    </row>
    <row r="233" spans="2:8">
      <c r="B233" s="25"/>
      <c r="C233" s="16"/>
      <c r="D233" s="18"/>
      <c r="E233" s="26"/>
      <c r="F233" s="27"/>
      <c r="G233" s="28" t="str">
        <f t="shared" si="0"/>
        <v/>
      </c>
      <c r="H233" s="28" t="str">
        <f t="array" ref="H233">IF(F233="","",INDEX(Cripto!$A$1:$A$12,G233))</f>
        <v/>
      </c>
    </row>
    <row r="234" spans="2:8">
      <c r="B234" s="12"/>
      <c r="C234" s="16"/>
      <c r="D234" s="18"/>
      <c r="E234" s="19"/>
      <c r="F234" s="21"/>
      <c r="G234" s="22" t="str">
        <f t="shared" si="0"/>
        <v/>
      </c>
      <c r="H234" s="22" t="str">
        <f t="array" ref="H234">IF(F234="","",INDEX(Cripto!$A$1:$A$12,G234))</f>
        <v/>
      </c>
    </row>
    <row r="235" spans="2:8">
      <c r="B235" s="25"/>
      <c r="C235" s="16"/>
      <c r="D235" s="18"/>
      <c r="E235" s="26"/>
      <c r="F235" s="27"/>
      <c r="G235" s="28" t="str">
        <f t="shared" si="0"/>
        <v/>
      </c>
      <c r="H235" s="28" t="str">
        <f t="array" ref="H235">IF(F235="","",INDEX(Cripto!$A$1:$A$12,G235))</f>
        <v/>
      </c>
    </row>
    <row r="236" spans="2:8">
      <c r="B236" s="12"/>
      <c r="C236" s="16"/>
      <c r="D236" s="18"/>
      <c r="E236" s="19"/>
      <c r="F236" s="21"/>
      <c r="G236" s="22" t="str">
        <f t="shared" si="0"/>
        <v/>
      </c>
      <c r="H236" s="22" t="str">
        <f t="array" ref="H236">IF(F236="","",INDEX(Cripto!$A$1:$A$12,G236))</f>
        <v/>
      </c>
    </row>
    <row r="237" spans="2:8">
      <c r="B237" s="25"/>
      <c r="C237" s="16"/>
      <c r="D237" s="18"/>
      <c r="E237" s="26"/>
      <c r="F237" s="27"/>
      <c r="G237" s="28" t="str">
        <f t="shared" si="0"/>
        <v/>
      </c>
      <c r="H237" s="28" t="str">
        <f t="array" ref="H237">IF(F237="","",INDEX(Cripto!$A$1:$A$12,G237))</f>
        <v/>
      </c>
    </row>
    <row r="238" spans="2:8">
      <c r="B238" s="12"/>
      <c r="C238" s="16"/>
      <c r="D238" s="18"/>
      <c r="E238" s="19"/>
      <c r="F238" s="21"/>
      <c r="G238" s="22" t="str">
        <f t="shared" si="0"/>
        <v/>
      </c>
      <c r="H238" s="22" t="str">
        <f t="array" ref="H238">IF(F238="","",INDEX(Cripto!$A$1:$A$12,G238))</f>
        <v/>
      </c>
    </row>
    <row r="239" spans="2:8">
      <c r="B239" s="25"/>
      <c r="C239" s="16"/>
      <c r="D239" s="18"/>
      <c r="E239" s="26"/>
      <c r="F239" s="27"/>
      <c r="G239" s="28" t="str">
        <f t="shared" si="0"/>
        <v/>
      </c>
      <c r="H239" s="28" t="str">
        <f t="array" ref="H239">IF(F239="","",INDEX(Cripto!$A$1:$A$12,G239))</f>
        <v/>
      </c>
    </row>
    <row r="240" spans="2:8">
      <c r="B240" s="12"/>
      <c r="C240" s="16"/>
      <c r="D240" s="18"/>
      <c r="E240" s="19"/>
      <c r="F240" s="21"/>
      <c r="G240" s="22" t="str">
        <f t="shared" si="0"/>
        <v/>
      </c>
      <c r="H240" s="22" t="str">
        <f t="array" ref="H240">IF(F240="","",INDEX(Cripto!$A$1:$A$12,G240))</f>
        <v/>
      </c>
    </row>
    <row r="241" spans="2:8">
      <c r="B241" s="25"/>
      <c r="C241" s="16"/>
      <c r="D241" s="18"/>
      <c r="E241" s="26"/>
      <c r="F241" s="27"/>
      <c r="G241" s="28" t="str">
        <f t="shared" si="0"/>
        <v/>
      </c>
      <c r="H241" s="28" t="str">
        <f t="array" ref="H241">IF(F241="","",INDEX(Cripto!$A$1:$A$12,G241))</f>
        <v/>
      </c>
    </row>
    <row r="242" spans="2:8">
      <c r="B242" s="12"/>
      <c r="C242" s="16"/>
      <c r="D242" s="18"/>
      <c r="E242" s="19"/>
      <c r="F242" s="21"/>
      <c r="G242" s="22" t="str">
        <f t="shared" si="0"/>
        <v/>
      </c>
      <c r="H242" s="22" t="str">
        <f t="array" ref="H242">IF(F242="","",INDEX(Cripto!$A$1:$A$12,G242))</f>
        <v/>
      </c>
    </row>
    <row r="243" spans="2:8">
      <c r="B243" s="25"/>
      <c r="C243" s="16"/>
      <c r="D243" s="18"/>
      <c r="E243" s="26"/>
      <c r="F243" s="27"/>
      <c r="G243" s="28" t="str">
        <f t="shared" si="0"/>
        <v/>
      </c>
      <c r="H243" s="28" t="str">
        <f t="array" ref="H243">IF(F243="","",INDEX(Cripto!$A$1:$A$12,G243))</f>
        <v/>
      </c>
    </row>
    <row r="244" spans="2:8">
      <c r="B244" s="12"/>
      <c r="C244" s="16"/>
      <c r="D244" s="18"/>
      <c r="E244" s="19"/>
      <c r="F244" s="21"/>
      <c r="G244" s="22" t="str">
        <f t="shared" si="0"/>
        <v/>
      </c>
      <c r="H244" s="22" t="str">
        <f t="array" ref="H244">IF(F244="","",INDEX(Cripto!$A$1:$A$12,G244))</f>
        <v/>
      </c>
    </row>
    <row r="245" spans="2:8">
      <c r="B245" s="25"/>
      <c r="C245" s="16"/>
      <c r="D245" s="18"/>
      <c r="E245" s="26"/>
      <c r="F245" s="27"/>
      <c r="G245" s="28" t="str">
        <f t="shared" si="0"/>
        <v/>
      </c>
      <c r="H245" s="28" t="str">
        <f t="array" ref="H245">IF(F245="","",INDEX(Cripto!$A$1:$A$12,G245))</f>
        <v/>
      </c>
    </row>
    <row r="246" spans="2:8">
      <c r="B246" s="12"/>
      <c r="C246" s="16"/>
      <c r="D246" s="18"/>
      <c r="E246" s="19"/>
      <c r="F246" s="21"/>
      <c r="G246" s="22" t="str">
        <f t="shared" si="0"/>
        <v/>
      </c>
      <c r="H246" s="22" t="str">
        <f t="array" ref="H246">IF(F246="","",INDEX(Cripto!$A$1:$A$12,G246))</f>
        <v/>
      </c>
    </row>
    <row r="247" spans="2:8">
      <c r="B247" s="25"/>
      <c r="C247" s="16"/>
      <c r="D247" s="18"/>
      <c r="E247" s="26"/>
      <c r="F247" s="27"/>
      <c r="G247" s="28" t="str">
        <f t="shared" si="0"/>
        <v/>
      </c>
      <c r="H247" s="28" t="str">
        <f t="array" ref="H247">IF(F247="","",INDEX(Cripto!$A$1:$A$12,G247))</f>
        <v/>
      </c>
    </row>
    <row r="248" spans="2:8">
      <c r="B248" s="12"/>
      <c r="C248" s="16"/>
      <c r="D248" s="18"/>
      <c r="E248" s="19"/>
      <c r="F248" s="21"/>
      <c r="G248" s="22" t="str">
        <f t="shared" si="0"/>
        <v/>
      </c>
      <c r="H248" s="22" t="str">
        <f t="array" ref="H248">IF(F248="","",INDEX(Cripto!$A$1:$A$12,G248))</f>
        <v/>
      </c>
    </row>
    <row r="249" spans="2:8">
      <c r="B249" s="25"/>
      <c r="C249" s="16"/>
      <c r="D249" s="18"/>
      <c r="E249" s="26"/>
      <c r="F249" s="27"/>
      <c r="G249" s="28" t="str">
        <f t="shared" si="0"/>
        <v/>
      </c>
      <c r="H249" s="28" t="str">
        <f t="array" ref="H249">IF(F249="","",INDEX(Cripto!$A$1:$A$12,G249))</f>
        <v/>
      </c>
    </row>
    <row r="250" spans="2:8">
      <c r="B250" s="12"/>
      <c r="C250" s="16"/>
      <c r="D250" s="18"/>
      <c r="E250" s="19"/>
      <c r="F250" s="21"/>
      <c r="G250" s="22" t="str">
        <f t="shared" si="0"/>
        <v/>
      </c>
      <c r="H250" s="22" t="str">
        <f t="array" ref="H250">IF(F250="","",INDEX(Cripto!$A$1:$A$12,G250))</f>
        <v/>
      </c>
    </row>
    <row r="251" spans="2:8">
      <c r="B251" s="25"/>
      <c r="C251" s="16"/>
      <c r="D251" s="18"/>
      <c r="E251" s="26"/>
      <c r="F251" s="27"/>
      <c r="G251" s="28" t="str">
        <f t="shared" si="0"/>
        <v/>
      </c>
      <c r="H251" s="28" t="str">
        <f t="array" ref="H251">IF(F251="","",INDEX(Cripto!$A$1:$A$12,G251))</f>
        <v/>
      </c>
    </row>
    <row r="252" spans="2:8">
      <c r="B252" s="12"/>
      <c r="C252" s="16"/>
      <c r="D252" s="18"/>
      <c r="E252" s="19"/>
      <c r="F252" s="21"/>
      <c r="G252" s="22" t="str">
        <f t="shared" si="0"/>
        <v/>
      </c>
      <c r="H252" s="22" t="str">
        <f t="array" ref="H252">IF(F252="","",INDEX(Cripto!$A$1:$A$12,G252))</f>
        <v/>
      </c>
    </row>
    <row r="253" spans="2:8">
      <c r="B253" s="25"/>
      <c r="C253" s="16"/>
      <c r="D253" s="18"/>
      <c r="E253" s="26"/>
      <c r="F253" s="27"/>
      <c r="G253" s="28" t="str">
        <f t="shared" si="0"/>
        <v/>
      </c>
      <c r="H253" s="28" t="str">
        <f t="array" ref="H253">IF(F253="","",INDEX(Cripto!$A$1:$A$12,G253))</f>
        <v/>
      </c>
    </row>
    <row r="254" spans="2:8">
      <c r="B254" s="12"/>
      <c r="C254" s="16"/>
      <c r="D254" s="18"/>
      <c r="E254" s="19"/>
      <c r="F254" s="21"/>
      <c r="G254" s="22" t="str">
        <f t="shared" si="0"/>
        <v/>
      </c>
      <c r="H254" s="22" t="str">
        <f t="array" ref="H254">IF(F254="","",INDEX(Cripto!$A$1:$A$12,G254))</f>
        <v/>
      </c>
    </row>
    <row r="255" spans="2:8">
      <c r="B255" s="25"/>
      <c r="C255" s="16"/>
      <c r="D255" s="18"/>
      <c r="E255" s="26"/>
      <c r="F255" s="27"/>
      <c r="G255" s="28" t="str">
        <f t="shared" si="0"/>
        <v/>
      </c>
      <c r="H255" s="28" t="str">
        <f t="array" ref="H255">IF(F255="","",INDEX(Cripto!$A$1:$A$12,G255))</f>
        <v/>
      </c>
    </row>
    <row r="256" spans="2:8">
      <c r="B256" s="12"/>
      <c r="C256" s="16"/>
      <c r="D256" s="18"/>
      <c r="E256" s="19"/>
      <c r="F256" s="21"/>
      <c r="G256" s="22" t="str">
        <f t="shared" si="0"/>
        <v/>
      </c>
      <c r="H256" s="22" t="str">
        <f t="array" ref="H256">IF(F256="","",INDEX(Cripto!$A$1:$A$12,G256))</f>
        <v/>
      </c>
    </row>
    <row r="257" spans="2:8">
      <c r="B257" s="25"/>
      <c r="C257" s="16"/>
      <c r="D257" s="18"/>
      <c r="E257" s="26"/>
      <c r="F257" s="27"/>
      <c r="G257" s="28" t="str">
        <f t="shared" si="0"/>
        <v/>
      </c>
      <c r="H257" s="28" t="str">
        <f t="array" ref="H257">IF(F257="","",INDEX(Cripto!$A$1:$A$12,G257))</f>
        <v/>
      </c>
    </row>
    <row r="258" spans="2:8">
      <c r="B258" s="12"/>
      <c r="C258" s="16"/>
      <c r="D258" s="18"/>
      <c r="E258" s="19"/>
      <c r="F258" s="21"/>
      <c r="G258" s="22" t="str">
        <f t="shared" si="0"/>
        <v/>
      </c>
      <c r="H258" s="22" t="str">
        <f t="array" ref="H258">IF(F258="","",INDEX(Cripto!$A$1:$A$12,G258))</f>
        <v/>
      </c>
    </row>
    <row r="259" spans="2:8">
      <c r="B259" s="25"/>
      <c r="C259" s="16"/>
      <c r="D259" s="18"/>
      <c r="E259" s="26"/>
      <c r="F259" s="27"/>
      <c r="G259" s="28" t="str">
        <f t="shared" si="0"/>
        <v/>
      </c>
      <c r="H259" s="28" t="str">
        <f t="array" ref="H259">IF(F259="","",INDEX(Cripto!$A$1:$A$12,G259))</f>
        <v/>
      </c>
    </row>
    <row r="260" spans="2:8">
      <c r="B260" s="12"/>
      <c r="C260" s="16"/>
      <c r="D260" s="18"/>
      <c r="E260" s="19"/>
      <c r="F260" s="21"/>
      <c r="G260" s="22" t="str">
        <f t="shared" si="0"/>
        <v/>
      </c>
      <c r="H260" s="22" t="str">
        <f t="array" ref="H260">IF(F260="","",INDEX(Cripto!$A$1:$A$12,G260))</f>
        <v/>
      </c>
    </row>
    <row r="261" spans="2:8">
      <c r="B261" s="25"/>
      <c r="C261" s="16"/>
      <c r="D261" s="18"/>
      <c r="E261" s="26"/>
      <c r="F261" s="27"/>
      <c r="G261" s="28" t="str">
        <f t="shared" si="0"/>
        <v/>
      </c>
      <c r="H261" s="28" t="str">
        <f t="array" ref="H261">IF(F261="","",INDEX(Cripto!$A$1:$A$12,G261))</f>
        <v/>
      </c>
    </row>
    <row r="262" spans="2:8">
      <c r="B262" s="12"/>
      <c r="C262" s="16"/>
      <c r="D262" s="18"/>
      <c r="E262" s="19"/>
      <c r="F262" s="21"/>
      <c r="G262" s="22" t="str">
        <f t="shared" si="0"/>
        <v/>
      </c>
      <c r="H262" s="22" t="str">
        <f t="array" ref="H262">IF(F262="","",INDEX(Cripto!$A$1:$A$12,G262))</f>
        <v/>
      </c>
    </row>
    <row r="263" spans="2:8">
      <c r="B263" s="25"/>
      <c r="C263" s="16"/>
      <c r="D263" s="18"/>
      <c r="E263" s="26"/>
      <c r="F263" s="27"/>
      <c r="G263" s="28" t="str">
        <f t="shared" si="0"/>
        <v/>
      </c>
      <c r="H263" s="28" t="str">
        <f t="array" ref="H263">IF(F263="","",INDEX(Cripto!$A$1:$A$12,G263))</f>
        <v/>
      </c>
    </row>
    <row r="264" spans="2:8">
      <c r="B264" s="12"/>
      <c r="C264" s="16"/>
      <c r="D264" s="18"/>
      <c r="E264" s="19"/>
      <c r="F264" s="21"/>
      <c r="G264" s="22" t="str">
        <f t="shared" si="0"/>
        <v/>
      </c>
      <c r="H264" s="22" t="str">
        <f t="array" ref="H264">IF(F264="","",INDEX(Cripto!$A$1:$A$12,G264))</f>
        <v/>
      </c>
    </row>
    <row r="265" spans="2:8">
      <c r="B265" s="25"/>
      <c r="C265" s="16"/>
      <c r="D265" s="18"/>
      <c r="E265" s="26"/>
      <c r="F265" s="27"/>
      <c r="G265" s="28" t="str">
        <f t="shared" si="0"/>
        <v/>
      </c>
      <c r="H265" s="28" t="str">
        <f t="array" ref="H265">IF(F265="","",INDEX(Cripto!$A$1:$A$12,G265))</f>
        <v/>
      </c>
    </row>
    <row r="266" spans="2:8">
      <c r="B266" s="12"/>
      <c r="C266" s="16"/>
      <c r="D266" s="18"/>
      <c r="E266" s="19"/>
      <c r="F266" s="21"/>
      <c r="G266" s="22" t="str">
        <f t="shared" si="0"/>
        <v/>
      </c>
      <c r="H266" s="22" t="str">
        <f t="array" ref="H266">IF(F266="","",INDEX(Cripto!$A$1:$A$12,G266))</f>
        <v/>
      </c>
    </row>
    <row r="267" spans="2:8">
      <c r="B267" s="25"/>
      <c r="C267" s="16"/>
      <c r="D267" s="18"/>
      <c r="E267" s="26"/>
      <c r="F267" s="27"/>
      <c r="G267" s="28" t="str">
        <f t="shared" si="0"/>
        <v/>
      </c>
      <c r="H267" s="28" t="str">
        <f t="array" ref="H267">IF(F267="","",INDEX(Cripto!$A$1:$A$12,G267))</f>
        <v/>
      </c>
    </row>
    <row r="268" spans="2:8">
      <c r="B268" s="12"/>
      <c r="C268" s="16"/>
      <c r="D268" s="18"/>
      <c r="E268" s="19"/>
      <c r="F268" s="21"/>
      <c r="G268" s="22" t="str">
        <f t="shared" si="0"/>
        <v/>
      </c>
      <c r="H268" s="22" t="str">
        <f t="array" ref="H268">IF(F268="","",INDEX(Cripto!$A$1:$A$12,G268))</f>
        <v/>
      </c>
    </row>
    <row r="269" spans="2:8">
      <c r="B269" s="25"/>
      <c r="C269" s="16"/>
      <c r="D269" s="18"/>
      <c r="E269" s="26"/>
      <c r="F269" s="27"/>
      <c r="G269" s="28" t="str">
        <f t="shared" si="0"/>
        <v/>
      </c>
      <c r="H269" s="28" t="str">
        <f t="array" ref="H269">IF(F269="","",INDEX(Cripto!$A$1:$A$12,G269))</f>
        <v/>
      </c>
    </row>
    <row r="270" spans="2:8">
      <c r="B270" s="12"/>
      <c r="C270" s="16"/>
      <c r="D270" s="18"/>
      <c r="E270" s="19"/>
      <c r="F270" s="21"/>
      <c r="G270" s="22" t="str">
        <f t="shared" si="0"/>
        <v/>
      </c>
      <c r="H270" s="22" t="str">
        <f t="array" ref="H270">IF(F270="","",INDEX(Cripto!$A$1:$A$12,G270))</f>
        <v/>
      </c>
    </row>
    <row r="271" spans="2:8">
      <c r="B271" s="25"/>
      <c r="C271" s="16"/>
      <c r="D271" s="18"/>
      <c r="E271" s="26"/>
      <c r="F271" s="27"/>
      <c r="G271" s="28" t="str">
        <f t="shared" si="0"/>
        <v/>
      </c>
      <c r="H271" s="28" t="str">
        <f t="array" ref="H271">IF(F271="","",INDEX(Cripto!$A$1:$A$12,G271))</f>
        <v/>
      </c>
    </row>
    <row r="272" spans="2:8">
      <c r="B272" s="12"/>
      <c r="C272" s="16"/>
      <c r="D272" s="18"/>
      <c r="E272" s="19"/>
      <c r="F272" s="21"/>
      <c r="G272" s="22" t="str">
        <f t="shared" si="0"/>
        <v/>
      </c>
      <c r="H272" s="22" t="str">
        <f t="array" ref="H272">IF(F272="","",INDEX(Cripto!$A$1:$A$12,G272))</f>
        <v/>
      </c>
    </row>
    <row r="273" spans="2:8">
      <c r="B273" s="25"/>
      <c r="C273" s="16"/>
      <c r="D273" s="18"/>
      <c r="E273" s="26"/>
      <c r="F273" s="27"/>
      <c r="G273" s="28" t="str">
        <f t="shared" si="0"/>
        <v/>
      </c>
      <c r="H273" s="28" t="str">
        <f t="array" ref="H273">IF(F273="","",INDEX(Cripto!$A$1:$A$12,G273))</f>
        <v/>
      </c>
    </row>
    <row r="274" spans="2:8">
      <c r="B274" s="12"/>
      <c r="C274" s="16"/>
      <c r="D274" s="18"/>
      <c r="E274" s="19"/>
      <c r="F274" s="21"/>
      <c r="G274" s="22" t="str">
        <f t="shared" si="0"/>
        <v/>
      </c>
      <c r="H274" s="22" t="str">
        <f t="array" ref="H274">IF(F274="","",INDEX(Cripto!$A$1:$A$12,G274))</f>
        <v/>
      </c>
    </row>
    <row r="275" spans="2:8">
      <c r="B275" s="25"/>
      <c r="C275" s="16"/>
      <c r="D275" s="18"/>
      <c r="E275" s="26"/>
      <c r="F275" s="27"/>
      <c r="G275" s="28" t="str">
        <f t="shared" si="0"/>
        <v/>
      </c>
      <c r="H275" s="28" t="str">
        <f t="array" ref="H275">IF(F275="","",INDEX(Cripto!$A$1:$A$12,G275))</f>
        <v/>
      </c>
    </row>
    <row r="276" spans="2:8">
      <c r="B276" s="12"/>
      <c r="C276" s="16"/>
      <c r="D276" s="18"/>
      <c r="E276" s="19"/>
      <c r="F276" s="21"/>
      <c r="G276" s="22" t="str">
        <f t="shared" si="0"/>
        <v/>
      </c>
      <c r="H276" s="22" t="str">
        <f t="array" ref="H276">IF(F276="","",INDEX(Cripto!$A$1:$A$12,G276))</f>
        <v/>
      </c>
    </row>
    <row r="277" spans="2:8">
      <c r="B277" s="25"/>
      <c r="C277" s="16"/>
      <c r="D277" s="18"/>
      <c r="E277" s="26"/>
      <c r="F277" s="27"/>
      <c r="G277" s="28" t="str">
        <f t="shared" si="0"/>
        <v/>
      </c>
      <c r="H277" s="28" t="str">
        <f t="array" ref="H277">IF(F277="","",INDEX(Cripto!$A$1:$A$12,G277))</f>
        <v/>
      </c>
    </row>
    <row r="278" spans="2:8">
      <c r="B278" s="12"/>
      <c r="C278" s="16"/>
      <c r="D278" s="18"/>
      <c r="E278" s="19"/>
      <c r="F278" s="21"/>
      <c r="G278" s="22" t="str">
        <f t="shared" si="0"/>
        <v/>
      </c>
      <c r="H278" s="22" t="str">
        <f t="array" ref="H278">IF(F278="","",INDEX(Cripto!$A$1:$A$12,G278))</f>
        <v/>
      </c>
    </row>
    <row r="279" spans="2:8">
      <c r="B279" s="25"/>
      <c r="C279" s="16"/>
      <c r="D279" s="18"/>
      <c r="E279" s="26"/>
      <c r="F279" s="27"/>
      <c r="G279" s="28" t="str">
        <f t="shared" si="0"/>
        <v/>
      </c>
      <c r="H279" s="28" t="str">
        <f t="array" ref="H279">IF(F279="","",INDEX(Cripto!$A$1:$A$12,G279))</f>
        <v/>
      </c>
    </row>
    <row r="280" spans="2:8">
      <c r="B280" s="12"/>
      <c r="C280" s="16"/>
      <c r="D280" s="18"/>
      <c r="E280" s="19"/>
      <c r="F280" s="21"/>
      <c r="G280" s="22" t="str">
        <f t="shared" si="0"/>
        <v/>
      </c>
      <c r="H280" s="22" t="str">
        <f t="array" ref="H280">IF(F280="","",INDEX(Cripto!$A$1:$A$12,G280))</f>
        <v/>
      </c>
    </row>
    <row r="281" spans="2:8">
      <c r="B281" s="25"/>
      <c r="C281" s="16"/>
      <c r="D281" s="18"/>
      <c r="E281" s="26"/>
      <c r="F281" s="27"/>
      <c r="G281" s="28" t="str">
        <f t="shared" si="0"/>
        <v/>
      </c>
      <c r="H281" s="28" t="str">
        <f t="array" ref="H281">IF(F281="","",INDEX(Cripto!$A$1:$A$12,G281))</f>
        <v/>
      </c>
    </row>
    <row r="282" spans="2:8">
      <c r="B282" s="12"/>
      <c r="C282" s="16"/>
      <c r="D282" s="18"/>
      <c r="E282" s="19"/>
      <c r="F282" s="21"/>
      <c r="G282" s="22" t="str">
        <f t="shared" si="0"/>
        <v/>
      </c>
      <c r="H282" s="22" t="str">
        <f t="array" ref="H282">IF(F282="","",INDEX(Cripto!$A$1:$A$12,G282))</f>
        <v/>
      </c>
    </row>
    <row r="283" spans="2:8">
      <c r="B283" s="25"/>
      <c r="C283" s="16"/>
      <c r="D283" s="18"/>
      <c r="E283" s="26"/>
      <c r="F283" s="27"/>
      <c r="G283" s="28" t="str">
        <f t="shared" si="0"/>
        <v/>
      </c>
      <c r="H283" s="28" t="str">
        <f t="array" ref="H283">IF(F283="","",INDEX(Cripto!$A$1:$A$12,G283))</f>
        <v/>
      </c>
    </row>
    <row r="284" spans="2:8">
      <c r="B284" s="12"/>
      <c r="C284" s="16"/>
      <c r="D284" s="18"/>
      <c r="E284" s="19"/>
      <c r="F284" s="21"/>
      <c r="G284" s="22" t="str">
        <f t="shared" si="0"/>
        <v/>
      </c>
      <c r="H284" s="22" t="str">
        <f t="array" ref="H284">IF(F284="","",INDEX(Cripto!$A$1:$A$12,G284))</f>
        <v/>
      </c>
    </row>
    <row r="285" spans="2:8">
      <c r="B285" s="25"/>
      <c r="C285" s="16"/>
      <c r="D285" s="18"/>
      <c r="E285" s="26"/>
      <c r="F285" s="27"/>
      <c r="G285" s="28" t="str">
        <f t="shared" si="0"/>
        <v/>
      </c>
      <c r="H285" s="28" t="str">
        <f t="array" ref="H285">IF(F285="","",INDEX(Cripto!$A$1:$A$12,G285))</f>
        <v/>
      </c>
    </row>
    <row r="286" spans="2:8">
      <c r="B286" s="12"/>
      <c r="C286" s="16"/>
      <c r="D286" s="18"/>
      <c r="E286" s="19"/>
      <c r="F286" s="21"/>
      <c r="G286" s="22" t="str">
        <f t="shared" si="0"/>
        <v/>
      </c>
      <c r="H286" s="22" t="str">
        <f t="array" ref="H286">IF(F286="","",INDEX(Cripto!$A$1:$A$12,G286))</f>
        <v/>
      </c>
    </row>
    <row r="287" spans="2:8">
      <c r="B287" s="25"/>
      <c r="C287" s="16"/>
      <c r="D287" s="18"/>
      <c r="E287" s="26"/>
      <c r="F287" s="27"/>
      <c r="G287" s="28" t="str">
        <f t="shared" si="0"/>
        <v/>
      </c>
      <c r="H287" s="28" t="str">
        <f t="array" ref="H287">IF(F287="","",INDEX(Cripto!$A$1:$A$12,G287))</f>
        <v/>
      </c>
    </row>
    <row r="288" spans="2:8">
      <c r="B288" s="12"/>
      <c r="C288" s="16"/>
      <c r="D288" s="18"/>
      <c r="E288" s="19"/>
      <c r="F288" s="21"/>
      <c r="G288" s="22" t="str">
        <f t="shared" si="0"/>
        <v/>
      </c>
      <c r="H288" s="22" t="str">
        <f t="array" ref="H288">IF(F288="","",INDEX(Cripto!$A$1:$A$12,G288))</f>
        <v/>
      </c>
    </row>
    <row r="289" spans="2:8">
      <c r="B289" s="25"/>
      <c r="C289" s="16"/>
      <c r="D289" s="18"/>
      <c r="E289" s="26"/>
      <c r="F289" s="27"/>
      <c r="G289" s="28" t="str">
        <f t="shared" si="0"/>
        <v/>
      </c>
      <c r="H289" s="28" t="str">
        <f t="array" ref="H289">IF(F289="","",INDEX(Cripto!$A$1:$A$12,G289))</f>
        <v/>
      </c>
    </row>
    <row r="290" spans="2:8">
      <c r="B290" s="12"/>
      <c r="C290" s="16"/>
      <c r="D290" s="18"/>
      <c r="E290" s="19"/>
      <c r="F290" s="21"/>
      <c r="G290" s="22" t="str">
        <f t="shared" si="0"/>
        <v/>
      </c>
      <c r="H290" s="22" t="str">
        <f t="array" ref="H290">IF(F290="","",INDEX(Cripto!$A$1:$A$12,G290))</f>
        <v/>
      </c>
    </row>
    <row r="291" spans="2:8">
      <c r="B291" s="25"/>
      <c r="C291" s="16"/>
      <c r="D291" s="18"/>
      <c r="E291" s="26"/>
      <c r="F291" s="27"/>
      <c r="G291" s="28" t="str">
        <f t="shared" si="0"/>
        <v/>
      </c>
      <c r="H291" s="28" t="str">
        <f t="array" ref="H291">IF(F291="","",INDEX(Cripto!$A$1:$A$12,G291))</f>
        <v/>
      </c>
    </row>
    <row r="292" spans="2:8">
      <c r="B292" s="12"/>
      <c r="C292" s="16"/>
      <c r="D292" s="18"/>
      <c r="E292" s="19"/>
      <c r="F292" s="21"/>
      <c r="G292" s="22" t="str">
        <f t="shared" si="0"/>
        <v/>
      </c>
      <c r="H292" s="22" t="str">
        <f t="array" ref="H292">IF(F292="","",INDEX(Cripto!$A$1:$A$12,G292))</f>
        <v/>
      </c>
    </row>
    <row r="293" spans="2:8">
      <c r="B293" s="25"/>
      <c r="C293" s="16"/>
      <c r="D293" s="18"/>
      <c r="E293" s="26"/>
      <c r="F293" s="27"/>
      <c r="G293" s="28" t="str">
        <f t="shared" si="0"/>
        <v/>
      </c>
      <c r="H293" s="28" t="str">
        <f t="array" ref="H293">IF(F293="","",INDEX(Cripto!$A$1:$A$12,G293))</f>
        <v/>
      </c>
    </row>
    <row r="294" spans="2:8">
      <c r="B294" s="12"/>
      <c r="C294" s="16"/>
      <c r="D294" s="18"/>
      <c r="E294" s="19"/>
      <c r="F294" s="21"/>
      <c r="G294" s="22" t="str">
        <f t="shared" si="0"/>
        <v/>
      </c>
      <c r="H294" s="22" t="str">
        <f t="array" ref="H294">IF(F294="","",INDEX(Cripto!$A$1:$A$12,G294))</f>
        <v/>
      </c>
    </row>
    <row r="295" spans="2:8">
      <c r="B295" s="25"/>
      <c r="C295" s="16"/>
      <c r="D295" s="18"/>
      <c r="E295" s="26"/>
      <c r="F295" s="27"/>
      <c r="G295" s="28" t="str">
        <f t="shared" si="0"/>
        <v/>
      </c>
      <c r="H295" s="28" t="str">
        <f t="array" ref="H295">IF(F295="","",INDEX(Cripto!$A$1:$A$12,G295))</f>
        <v/>
      </c>
    </row>
    <row r="296" spans="2:8">
      <c r="B296" s="12"/>
      <c r="C296" s="16"/>
      <c r="D296" s="18"/>
      <c r="E296" s="19"/>
      <c r="F296" s="21"/>
      <c r="G296" s="22" t="str">
        <f t="shared" si="0"/>
        <v/>
      </c>
      <c r="H296" s="22" t="str">
        <f t="array" ref="H296">IF(F296="","",INDEX(Cripto!$A$1:$A$12,G296))</f>
        <v/>
      </c>
    </row>
    <row r="297" spans="2:8">
      <c r="B297" s="25"/>
      <c r="C297" s="16"/>
      <c r="D297" s="18"/>
      <c r="E297" s="26"/>
      <c r="F297" s="27"/>
      <c r="G297" s="28" t="str">
        <f t="shared" si="0"/>
        <v/>
      </c>
      <c r="H297" s="28" t="str">
        <f t="array" ref="H297">IF(F297="","",INDEX(Cripto!$A$1:$A$12,G297))</f>
        <v/>
      </c>
    </row>
    <row r="298" spans="2:8">
      <c r="B298" s="12"/>
      <c r="C298" s="16"/>
      <c r="D298" s="18"/>
      <c r="E298" s="19"/>
      <c r="F298" s="21"/>
      <c r="G298" s="22" t="str">
        <f t="shared" si="0"/>
        <v/>
      </c>
      <c r="H298" s="22" t="str">
        <f t="array" ref="H298">IF(F298="","",INDEX(Cripto!$A$1:$A$12,G298))</f>
        <v/>
      </c>
    </row>
    <row r="299" spans="2:8">
      <c r="B299" s="25"/>
      <c r="C299" s="16"/>
      <c r="D299" s="18"/>
      <c r="E299" s="26"/>
      <c r="F299" s="27"/>
      <c r="G299" s="28" t="str">
        <f t="shared" si="0"/>
        <v/>
      </c>
      <c r="H299" s="28" t="str">
        <f t="array" ref="H299">IF(F299="","",INDEX(Cripto!$A$1:$A$12,G299))</f>
        <v/>
      </c>
    </row>
    <row r="300" spans="2:8">
      <c r="B300" s="12"/>
      <c r="C300" s="16"/>
      <c r="D300" s="18"/>
      <c r="E300" s="19"/>
      <c r="F300" s="21"/>
      <c r="G300" s="22" t="str">
        <f t="shared" si="0"/>
        <v/>
      </c>
      <c r="H300" s="22" t="str">
        <f t="array" ref="H300">IF(F300="","",INDEX(Cripto!$A$1:$A$12,G300))</f>
        <v/>
      </c>
    </row>
    <row r="301" spans="2:8">
      <c r="B301" s="25"/>
      <c r="C301" s="16"/>
      <c r="D301" s="18"/>
      <c r="E301" s="26"/>
      <c r="F301" s="27"/>
      <c r="G301" s="28" t="str">
        <f t="shared" si="0"/>
        <v/>
      </c>
      <c r="H301" s="28" t="str">
        <f t="array" ref="H301">IF(F301="","",INDEX(Cripto!$A$1:$A$12,G301))</f>
        <v/>
      </c>
    </row>
    <row r="302" spans="2:8">
      <c r="B302" s="12"/>
      <c r="C302" s="16"/>
      <c r="D302" s="18"/>
      <c r="E302" s="19"/>
      <c r="F302" s="21"/>
      <c r="G302" s="22" t="str">
        <f t="shared" si="0"/>
        <v/>
      </c>
      <c r="H302" s="22" t="str">
        <f t="array" ref="H302">IF(F302="","",INDEX(Cripto!$A$1:$A$12,G302))</f>
        <v/>
      </c>
    </row>
    <row r="303" spans="2:8">
      <c r="B303" s="25"/>
      <c r="C303" s="16"/>
      <c r="D303" s="18"/>
      <c r="E303" s="26"/>
      <c r="F303" s="27"/>
      <c r="G303" s="28" t="str">
        <f t="shared" si="0"/>
        <v/>
      </c>
      <c r="H303" s="28" t="str">
        <f t="array" ref="H303">IF(F303="","",INDEX(Cripto!$A$1:$A$12,G303))</f>
        <v/>
      </c>
    </row>
    <row r="304" spans="2:8">
      <c r="B304" s="12"/>
      <c r="C304" s="16"/>
      <c r="D304" s="18"/>
      <c r="E304" s="19"/>
      <c r="F304" s="21"/>
      <c r="G304" s="22" t="str">
        <f t="shared" si="0"/>
        <v/>
      </c>
      <c r="H304" s="22" t="str">
        <f t="array" ref="H304">IF(F304="","",INDEX(Cripto!$A$1:$A$12,G304))</f>
        <v/>
      </c>
    </row>
    <row r="305" spans="2:8">
      <c r="B305" s="25"/>
      <c r="C305" s="16"/>
      <c r="D305" s="18"/>
      <c r="E305" s="26"/>
      <c r="F305" s="27"/>
      <c r="G305" s="28" t="str">
        <f t="shared" si="0"/>
        <v/>
      </c>
      <c r="H305" s="28" t="str">
        <f t="array" ref="H305">IF(F305="","",INDEX(Cripto!$A$1:$A$12,G305))</f>
        <v/>
      </c>
    </row>
    <row r="306" spans="2:8">
      <c r="B306" s="12"/>
      <c r="C306" s="16"/>
      <c r="D306" s="18"/>
      <c r="E306" s="19"/>
      <c r="F306" s="21"/>
      <c r="G306" s="22" t="str">
        <f t="shared" si="0"/>
        <v/>
      </c>
      <c r="H306" s="22" t="str">
        <f t="array" ref="H306">IF(F306="","",INDEX(Cripto!$A$1:$A$12,G306))</f>
        <v/>
      </c>
    </row>
    <row r="307" spans="2:8">
      <c r="B307" s="25"/>
      <c r="C307" s="16"/>
      <c r="D307" s="18"/>
      <c r="E307" s="26"/>
      <c r="F307" s="27"/>
      <c r="G307" s="28" t="str">
        <f t="shared" si="0"/>
        <v/>
      </c>
      <c r="H307" s="28" t="str">
        <f t="array" ref="H307">IF(F307="","",INDEX(Cripto!$A$1:$A$12,G307))</f>
        <v/>
      </c>
    </row>
    <row r="308" spans="2:8">
      <c r="B308" s="12"/>
      <c r="C308" s="16"/>
      <c r="D308" s="18"/>
      <c r="E308" s="19"/>
      <c r="F308" s="21"/>
      <c r="G308" s="22" t="str">
        <f t="shared" si="0"/>
        <v/>
      </c>
      <c r="H308" s="22" t="str">
        <f t="array" ref="H308">IF(F308="","",INDEX(Cripto!$A$1:$A$12,G308))</f>
        <v/>
      </c>
    </row>
    <row r="309" spans="2:8">
      <c r="B309" s="25"/>
      <c r="C309" s="16"/>
      <c r="D309" s="18"/>
      <c r="E309" s="26"/>
      <c r="F309" s="27"/>
      <c r="G309" s="28" t="str">
        <f t="shared" si="0"/>
        <v/>
      </c>
      <c r="H309" s="28" t="str">
        <f t="array" ref="H309">IF(F309="","",INDEX(Cripto!$A$1:$A$12,G309))</f>
        <v/>
      </c>
    </row>
    <row r="310" spans="2:8">
      <c r="B310" s="12"/>
      <c r="C310" s="16"/>
      <c r="D310" s="18"/>
      <c r="E310" s="19"/>
      <c r="F310" s="21"/>
      <c r="G310" s="22" t="str">
        <f t="shared" si="0"/>
        <v/>
      </c>
      <c r="H310" s="22" t="str">
        <f t="array" ref="H310">IF(F310="","",INDEX(Cripto!$A$1:$A$12,G310))</f>
        <v/>
      </c>
    </row>
    <row r="311" spans="2:8">
      <c r="B311" s="25"/>
      <c r="C311" s="16"/>
      <c r="D311" s="18"/>
      <c r="E311" s="26"/>
      <c r="F311" s="27"/>
      <c r="G311" s="28" t="str">
        <f t="shared" si="0"/>
        <v/>
      </c>
      <c r="H311" s="28" t="str">
        <f t="array" ref="H311">IF(F311="","",INDEX(Cripto!$A$1:$A$12,G311))</f>
        <v/>
      </c>
    </row>
    <row r="312" spans="2:8">
      <c r="B312" s="12"/>
      <c r="C312" s="16"/>
      <c r="D312" s="18"/>
      <c r="E312" s="19"/>
      <c r="F312" s="21"/>
      <c r="G312" s="22" t="str">
        <f t="shared" si="0"/>
        <v/>
      </c>
      <c r="H312" s="22" t="str">
        <f t="array" ref="H312">IF(F312="","",INDEX(Cripto!$A$1:$A$12,G312))</f>
        <v/>
      </c>
    </row>
    <row r="313" spans="2:8">
      <c r="B313" s="25"/>
      <c r="C313" s="16"/>
      <c r="D313" s="18"/>
      <c r="E313" s="26"/>
      <c r="F313" s="27"/>
      <c r="G313" s="28" t="str">
        <f t="shared" si="0"/>
        <v/>
      </c>
      <c r="H313" s="28" t="str">
        <f t="array" ref="H313">IF(F313="","",INDEX(Cripto!$A$1:$A$12,G313))</f>
        <v/>
      </c>
    </row>
    <row r="314" spans="2:8">
      <c r="B314" s="12"/>
      <c r="C314" s="16"/>
      <c r="D314" s="18"/>
      <c r="E314" s="19"/>
      <c r="F314" s="21"/>
      <c r="G314" s="22" t="str">
        <f t="shared" si="0"/>
        <v/>
      </c>
      <c r="H314" s="22" t="str">
        <f t="array" ref="H314">IF(F314="","",INDEX(Cripto!$A$1:$A$12,G314))</f>
        <v/>
      </c>
    </row>
    <row r="315" spans="2:8">
      <c r="B315" s="25"/>
      <c r="C315" s="16"/>
      <c r="D315" s="18"/>
      <c r="E315" s="26"/>
      <c r="F315" s="27"/>
      <c r="G315" s="28" t="str">
        <f t="shared" si="0"/>
        <v/>
      </c>
      <c r="H315" s="28" t="str">
        <f t="array" ref="H315">IF(F315="","",INDEX(Cripto!$A$1:$A$12,G315))</f>
        <v/>
      </c>
    </row>
    <row r="316" spans="2:8">
      <c r="B316" s="12"/>
      <c r="C316" s="16"/>
      <c r="D316" s="18"/>
      <c r="E316" s="19"/>
      <c r="F316" s="21"/>
      <c r="G316" s="22" t="str">
        <f t="shared" si="0"/>
        <v/>
      </c>
      <c r="H316" s="22" t="str">
        <f t="array" ref="H316">IF(F316="","",INDEX(Cripto!$A$1:$A$12,G316))</f>
        <v/>
      </c>
    </row>
    <row r="317" spans="2:8">
      <c r="B317" s="25"/>
      <c r="C317" s="16"/>
      <c r="D317" s="18"/>
      <c r="E317" s="26"/>
      <c r="F317" s="27"/>
      <c r="G317" s="28" t="str">
        <f t="shared" si="0"/>
        <v/>
      </c>
      <c r="H317" s="28" t="str">
        <f t="array" ref="H317">IF(F317="","",INDEX(Cripto!$A$1:$A$12,G317))</f>
        <v/>
      </c>
    </row>
    <row r="318" spans="2:8">
      <c r="B318" s="12"/>
      <c r="C318" s="16"/>
      <c r="D318" s="18"/>
      <c r="E318" s="19"/>
      <c r="F318" s="21"/>
      <c r="G318" s="22" t="str">
        <f t="shared" si="0"/>
        <v/>
      </c>
      <c r="H318" s="22" t="str">
        <f t="array" ref="H318">IF(F318="","",INDEX(Cripto!$A$1:$A$12,G318))</f>
        <v/>
      </c>
    </row>
    <row r="319" spans="2:8">
      <c r="B319" s="25"/>
      <c r="C319" s="16"/>
      <c r="D319" s="18"/>
      <c r="E319" s="26"/>
      <c r="F319" s="27"/>
      <c r="G319" s="28" t="str">
        <f t="shared" si="0"/>
        <v/>
      </c>
      <c r="H319" s="28" t="str">
        <f t="array" ref="H319">IF(F319="","",INDEX(Cripto!$A$1:$A$12,G319))</f>
        <v/>
      </c>
    </row>
    <row r="320" spans="2:8">
      <c r="B320" s="12"/>
      <c r="C320" s="16"/>
      <c r="D320" s="18"/>
      <c r="E320" s="19"/>
      <c r="F320" s="21"/>
      <c r="G320" s="22" t="str">
        <f t="shared" si="0"/>
        <v/>
      </c>
      <c r="H320" s="22" t="str">
        <f t="array" ref="H320">IF(F320="","",INDEX(Cripto!$A$1:$A$12,G320))</f>
        <v/>
      </c>
    </row>
    <row r="321" spans="2:8">
      <c r="B321" s="25"/>
      <c r="C321" s="16"/>
      <c r="D321" s="18"/>
      <c r="E321" s="26"/>
      <c r="F321" s="27"/>
      <c r="G321" s="28" t="str">
        <f t="shared" si="0"/>
        <v/>
      </c>
      <c r="H321" s="28" t="str">
        <f t="array" ref="H321">IF(F321="","",INDEX(Cripto!$A$1:$A$12,G321))</f>
        <v/>
      </c>
    </row>
    <row r="322" spans="2:8">
      <c r="B322" s="12"/>
      <c r="C322" s="16"/>
      <c r="D322" s="18"/>
      <c r="E322" s="19"/>
      <c r="F322" s="21"/>
      <c r="G322" s="22" t="str">
        <f t="shared" si="0"/>
        <v/>
      </c>
      <c r="H322" s="22" t="str">
        <f t="array" ref="H322">IF(F322="","",INDEX(Cripto!$A$1:$A$12,G322))</f>
        <v/>
      </c>
    </row>
    <row r="323" spans="2:8">
      <c r="B323" s="25"/>
      <c r="C323" s="16"/>
      <c r="D323" s="18"/>
      <c r="E323" s="26"/>
      <c r="F323" s="27"/>
      <c r="G323" s="28" t="str">
        <f t="shared" si="0"/>
        <v/>
      </c>
      <c r="H323" s="28" t="str">
        <f t="array" ref="H323">IF(F323="","",INDEX(Cripto!$A$1:$A$12,G323))</f>
        <v/>
      </c>
    </row>
    <row r="324" spans="2:8">
      <c r="B324" s="12"/>
      <c r="C324" s="16"/>
      <c r="D324" s="18"/>
      <c r="E324" s="19"/>
      <c r="F324" s="21"/>
      <c r="G324" s="22" t="str">
        <f t="shared" si="0"/>
        <v/>
      </c>
      <c r="H324" s="22" t="str">
        <f t="array" ref="H324">IF(F324="","",INDEX(Cripto!$A$1:$A$12,G324))</f>
        <v/>
      </c>
    </row>
    <row r="325" spans="2:8">
      <c r="B325" s="25"/>
      <c r="C325" s="16"/>
      <c r="D325" s="18"/>
      <c r="E325" s="26"/>
      <c r="F325" s="27"/>
      <c r="G325" s="28" t="str">
        <f t="shared" si="0"/>
        <v/>
      </c>
      <c r="H325" s="28" t="str">
        <f t="array" ref="H325">IF(F325="","",INDEX(Cripto!$A$1:$A$12,G325))</f>
        <v/>
      </c>
    </row>
    <row r="326" spans="2:8">
      <c r="B326" s="12"/>
      <c r="C326" s="16"/>
      <c r="D326" s="18"/>
      <c r="E326" s="19"/>
      <c r="F326" s="21"/>
      <c r="G326" s="22" t="str">
        <f t="shared" si="0"/>
        <v/>
      </c>
      <c r="H326" s="22" t="str">
        <f t="array" ref="H326">IF(F326="","",INDEX(Cripto!$A$1:$A$12,G326))</f>
        <v/>
      </c>
    </row>
    <row r="327" spans="2:8">
      <c r="B327" s="25"/>
      <c r="C327" s="16"/>
      <c r="D327" s="18"/>
      <c r="E327" s="26"/>
      <c r="F327" s="27"/>
      <c r="G327" s="28" t="str">
        <f t="shared" si="0"/>
        <v/>
      </c>
      <c r="H327" s="28" t="str">
        <f t="array" ref="H327">IF(F327="","",INDEX(Cripto!$A$1:$A$12,G327))</f>
        <v/>
      </c>
    </row>
    <row r="328" spans="2:8">
      <c r="B328" s="12"/>
      <c r="C328" s="16"/>
      <c r="D328" s="18"/>
      <c r="E328" s="19"/>
      <c r="F328" s="21"/>
      <c r="G328" s="22" t="str">
        <f t="shared" si="0"/>
        <v/>
      </c>
      <c r="H328" s="22" t="str">
        <f t="array" ref="H328">IF(F328="","",INDEX(Cripto!$A$1:$A$12,G328))</f>
        <v/>
      </c>
    </row>
    <row r="329" spans="2:8">
      <c r="B329" s="25"/>
      <c r="C329" s="16"/>
      <c r="D329" s="18"/>
      <c r="E329" s="26"/>
      <c r="F329" s="27"/>
      <c r="G329" s="28" t="str">
        <f t="shared" si="0"/>
        <v/>
      </c>
      <c r="H329" s="28" t="str">
        <f t="array" ref="H329">IF(F329="","",INDEX(Cripto!$A$1:$A$12,G329))</f>
        <v/>
      </c>
    </row>
    <row r="330" spans="2:8">
      <c r="B330" s="12"/>
      <c r="C330" s="16"/>
      <c r="D330" s="18"/>
      <c r="E330" s="19"/>
      <c r="F330" s="21"/>
      <c r="G330" s="22" t="str">
        <f t="shared" si="0"/>
        <v/>
      </c>
      <c r="H330" s="22" t="str">
        <f t="array" ref="H330">IF(F330="","",INDEX(Cripto!$A$1:$A$12,G330))</f>
        <v/>
      </c>
    </row>
    <row r="331" spans="2:8">
      <c r="B331" s="25"/>
      <c r="C331" s="16"/>
      <c r="D331" s="18"/>
      <c r="E331" s="26"/>
      <c r="F331" s="27"/>
      <c r="G331" s="28" t="str">
        <f t="shared" si="0"/>
        <v/>
      </c>
      <c r="H331" s="28" t="str">
        <f t="array" ref="H331">IF(F331="","",INDEX(Cripto!$A$1:$A$12,G331))</f>
        <v/>
      </c>
    </row>
    <row r="332" spans="2:8">
      <c r="B332" s="12"/>
      <c r="C332" s="16"/>
      <c r="D332" s="18"/>
      <c r="E332" s="19"/>
      <c r="F332" s="21"/>
      <c r="G332" s="22" t="str">
        <f t="shared" si="0"/>
        <v/>
      </c>
      <c r="H332" s="22" t="str">
        <f t="array" ref="H332">IF(F332="","",INDEX(Cripto!$A$1:$A$12,G332))</f>
        <v/>
      </c>
    </row>
    <row r="333" spans="2:8">
      <c r="B333" s="25"/>
      <c r="C333" s="16"/>
      <c r="D333" s="18"/>
      <c r="E333" s="26"/>
      <c r="F333" s="27"/>
      <c r="G333" s="28" t="str">
        <f t="shared" si="0"/>
        <v/>
      </c>
      <c r="H333" s="28" t="str">
        <f t="array" ref="H333">IF(F333="","",INDEX(Cripto!$A$1:$A$12,G333))</f>
        <v/>
      </c>
    </row>
    <row r="334" spans="2:8">
      <c r="B334" s="12"/>
      <c r="C334" s="16"/>
      <c r="D334" s="18"/>
      <c r="E334" s="19"/>
      <c r="F334" s="21"/>
      <c r="G334" s="22" t="str">
        <f t="shared" si="0"/>
        <v/>
      </c>
      <c r="H334" s="22" t="str">
        <f t="array" ref="H334">IF(F334="","",INDEX(Cripto!$A$1:$A$12,G334))</f>
        <v/>
      </c>
    </row>
    <row r="335" spans="2:8">
      <c r="B335" s="25"/>
      <c r="C335" s="16"/>
      <c r="D335" s="18"/>
      <c r="E335" s="26"/>
      <c r="F335" s="27"/>
      <c r="G335" s="28" t="str">
        <f t="shared" si="0"/>
        <v/>
      </c>
      <c r="H335" s="28" t="str">
        <f t="array" ref="H335">IF(F335="","",INDEX(Cripto!$A$1:$A$12,G335))</f>
        <v/>
      </c>
    </row>
    <row r="336" spans="2:8">
      <c r="B336" s="12"/>
      <c r="C336" s="16"/>
      <c r="D336" s="18"/>
      <c r="E336" s="19"/>
      <c r="F336" s="21"/>
      <c r="G336" s="22" t="str">
        <f t="shared" si="0"/>
        <v/>
      </c>
      <c r="H336" s="22" t="str">
        <f t="array" ref="H336">IF(F336="","",INDEX(Cripto!$A$1:$A$12,G336))</f>
        <v/>
      </c>
    </row>
    <row r="337" spans="2:8">
      <c r="B337" s="25"/>
      <c r="C337" s="16"/>
      <c r="D337" s="18"/>
      <c r="E337" s="26"/>
      <c r="F337" s="27"/>
      <c r="G337" s="28" t="str">
        <f t="shared" si="0"/>
        <v/>
      </c>
      <c r="H337" s="28" t="str">
        <f t="array" ref="H337">IF(F337="","",INDEX(Cripto!$A$1:$A$12,G337))</f>
        <v/>
      </c>
    </row>
    <row r="338" spans="2:8">
      <c r="B338" s="12"/>
      <c r="C338" s="16"/>
      <c r="D338" s="18"/>
      <c r="E338" s="19"/>
      <c r="F338" s="21"/>
      <c r="G338" s="22" t="str">
        <f t="shared" si="0"/>
        <v/>
      </c>
      <c r="H338" s="22" t="str">
        <f t="array" ref="H338">IF(F338="","",INDEX(Cripto!$A$1:$A$12,G338))</f>
        <v/>
      </c>
    </row>
    <row r="339" spans="2:8">
      <c r="B339" s="25"/>
      <c r="C339" s="16"/>
      <c r="D339" s="18"/>
      <c r="E339" s="26"/>
      <c r="F339" s="27"/>
      <c r="G339" s="28" t="str">
        <f t="shared" si="0"/>
        <v/>
      </c>
      <c r="H339" s="28" t="str">
        <f t="array" ref="H339">IF(F339="","",INDEX(Cripto!$A$1:$A$12,G339))</f>
        <v/>
      </c>
    </row>
    <row r="340" spans="2:8">
      <c r="B340" s="12"/>
      <c r="C340" s="16"/>
      <c r="D340" s="18"/>
      <c r="E340" s="19"/>
      <c r="F340" s="21"/>
      <c r="G340" s="22" t="str">
        <f t="shared" si="0"/>
        <v/>
      </c>
      <c r="H340" s="22" t="str">
        <f t="array" ref="H340">IF(F340="","",INDEX(Cripto!$A$1:$A$12,G340))</f>
        <v/>
      </c>
    </row>
    <row r="341" spans="2:8">
      <c r="B341" s="25"/>
      <c r="C341" s="16"/>
      <c r="D341" s="18"/>
      <c r="E341" s="26"/>
      <c r="F341" s="27"/>
      <c r="G341" s="28" t="str">
        <f t="shared" si="0"/>
        <v/>
      </c>
      <c r="H341" s="28" t="str">
        <f t="array" ref="H341">IF(F341="","",INDEX(Cripto!$A$1:$A$12,G341))</f>
        <v/>
      </c>
    </row>
    <row r="342" spans="2:8">
      <c r="B342" s="12"/>
      <c r="C342" s="16"/>
      <c r="D342" s="18"/>
      <c r="E342" s="19"/>
      <c r="F342" s="21"/>
      <c r="G342" s="22" t="str">
        <f t="shared" si="0"/>
        <v/>
      </c>
      <c r="H342" s="22" t="str">
        <f t="array" ref="H342">IF(F342="","",INDEX(Cripto!$A$1:$A$12,G342))</f>
        <v/>
      </c>
    </row>
    <row r="343" spans="2:8">
      <c r="B343" s="25"/>
      <c r="C343" s="16"/>
      <c r="D343" s="18"/>
      <c r="E343" s="26"/>
      <c r="F343" s="27"/>
      <c r="G343" s="28" t="str">
        <f t="shared" si="0"/>
        <v/>
      </c>
      <c r="H343" s="28" t="str">
        <f t="array" ref="H343">IF(F343="","",INDEX(Cripto!$A$1:$A$12,G343))</f>
        <v/>
      </c>
    </row>
    <row r="344" spans="2:8">
      <c r="B344" s="12"/>
      <c r="C344" s="16"/>
      <c r="D344" s="18"/>
      <c r="E344" s="19"/>
      <c r="F344" s="21"/>
      <c r="G344" s="22" t="str">
        <f t="shared" si="0"/>
        <v/>
      </c>
      <c r="H344" s="22" t="str">
        <f t="array" ref="H344">IF(F344="","",INDEX(Cripto!$A$1:$A$12,G344))</f>
        <v/>
      </c>
    </row>
    <row r="345" spans="2:8">
      <c r="B345" s="25"/>
      <c r="C345" s="16"/>
      <c r="D345" s="18"/>
      <c r="E345" s="26"/>
      <c r="F345" s="27"/>
      <c r="G345" s="28" t="str">
        <f t="shared" si="0"/>
        <v/>
      </c>
      <c r="H345" s="28" t="str">
        <f t="array" ref="H345">IF(F345="","",INDEX(Cripto!$A$1:$A$12,G345))</f>
        <v/>
      </c>
    </row>
    <row r="346" spans="2:8">
      <c r="B346" s="12"/>
      <c r="C346" s="16"/>
      <c r="D346" s="18"/>
      <c r="E346" s="19"/>
      <c r="F346" s="21"/>
      <c r="G346" s="22" t="str">
        <f t="shared" si="0"/>
        <v/>
      </c>
      <c r="H346" s="22" t="str">
        <f t="array" ref="H346">IF(F346="","",INDEX(Cripto!$A$1:$A$12,G346))</f>
        <v/>
      </c>
    </row>
    <row r="347" spans="2:8">
      <c r="B347" s="25"/>
      <c r="C347" s="16"/>
      <c r="D347" s="18"/>
      <c r="E347" s="26"/>
      <c r="F347" s="27"/>
      <c r="G347" s="28" t="str">
        <f t="shared" si="0"/>
        <v/>
      </c>
      <c r="H347" s="28" t="str">
        <f t="array" ref="H347">IF(F347="","",INDEX(Cripto!$A$1:$A$12,G347))</f>
        <v/>
      </c>
    </row>
    <row r="348" spans="2:8">
      <c r="B348" s="12"/>
      <c r="C348" s="16"/>
      <c r="D348" s="18"/>
      <c r="E348" s="19"/>
      <c r="F348" s="21"/>
      <c r="G348" s="22" t="str">
        <f t="shared" si="0"/>
        <v/>
      </c>
      <c r="H348" s="22" t="str">
        <f t="array" ref="H348">IF(F348="","",INDEX(Cripto!$A$1:$A$12,G348))</f>
        <v/>
      </c>
    </row>
    <row r="349" spans="2:8">
      <c r="B349" s="25"/>
      <c r="C349" s="16"/>
      <c r="D349" s="18"/>
      <c r="E349" s="26"/>
      <c r="F349" s="27"/>
      <c r="G349" s="28" t="str">
        <f t="shared" si="0"/>
        <v/>
      </c>
      <c r="H349" s="28" t="str">
        <f t="array" ref="H349">IF(F349="","",INDEX(Cripto!$A$1:$A$12,G349))</f>
        <v/>
      </c>
    </row>
    <row r="350" spans="2:8">
      <c r="B350" s="12"/>
      <c r="C350" s="16"/>
      <c r="D350" s="18"/>
      <c r="E350" s="19"/>
      <c r="F350" s="21"/>
      <c r="G350" s="22" t="str">
        <f t="shared" si="0"/>
        <v/>
      </c>
      <c r="H350" s="22" t="str">
        <f t="array" ref="H350">IF(F350="","",INDEX(Cripto!$A$1:$A$12,G350))</f>
        <v/>
      </c>
    </row>
    <row r="351" spans="2:8">
      <c r="B351" s="25"/>
      <c r="C351" s="16"/>
      <c r="D351" s="18"/>
      <c r="E351" s="26"/>
      <c r="F351" s="27"/>
      <c r="G351" s="28" t="str">
        <f t="shared" si="0"/>
        <v/>
      </c>
      <c r="H351" s="28" t="str">
        <f t="array" ref="H351">IF(F351="","",INDEX(Cripto!$A$1:$A$12,G351))</f>
        <v/>
      </c>
    </row>
    <row r="352" spans="2:8">
      <c r="B352" s="12"/>
      <c r="C352" s="16"/>
      <c r="D352" s="18"/>
      <c r="E352" s="19"/>
      <c r="F352" s="21"/>
      <c r="G352" s="22" t="str">
        <f t="shared" si="0"/>
        <v/>
      </c>
      <c r="H352" s="22" t="str">
        <f t="array" ref="H352">IF(F352="","",INDEX(Cripto!$A$1:$A$12,G352))</f>
        <v/>
      </c>
    </row>
    <row r="353" spans="2:8">
      <c r="B353" s="25"/>
      <c r="C353" s="16"/>
      <c r="D353" s="18"/>
      <c r="E353" s="26"/>
      <c r="F353" s="27"/>
      <c r="G353" s="28" t="str">
        <f t="shared" si="0"/>
        <v/>
      </c>
      <c r="H353" s="28" t="str">
        <f t="array" ref="H353">IF(F353="","",INDEX(Cripto!$A$1:$A$12,G353))</f>
        <v/>
      </c>
    </row>
    <row r="354" spans="2:8">
      <c r="B354" s="12"/>
      <c r="C354" s="16"/>
      <c r="D354" s="18"/>
      <c r="E354" s="19"/>
      <c r="F354" s="21"/>
      <c r="G354" s="22" t="str">
        <f t="shared" si="0"/>
        <v/>
      </c>
      <c r="H354" s="22" t="str">
        <f t="array" ref="H354">IF(F354="","",INDEX(Cripto!$A$1:$A$12,G354))</f>
        <v/>
      </c>
    </row>
    <row r="355" spans="2:8">
      <c r="B355" s="25"/>
      <c r="C355" s="16"/>
      <c r="D355" s="18"/>
      <c r="E355" s="26"/>
      <c r="F355" s="27"/>
      <c r="G355" s="28" t="str">
        <f t="shared" si="0"/>
        <v/>
      </c>
      <c r="H355" s="28" t="str">
        <f t="array" ref="H355">IF(F355="","",INDEX(Cripto!$A$1:$A$12,G355))</f>
        <v/>
      </c>
    </row>
    <row r="356" spans="2:8">
      <c r="B356" s="12"/>
      <c r="C356" s="16"/>
      <c r="D356" s="18"/>
      <c r="E356" s="19"/>
      <c r="F356" s="21"/>
      <c r="G356" s="22" t="str">
        <f t="shared" si="0"/>
        <v/>
      </c>
      <c r="H356" s="22" t="str">
        <f t="array" ref="H356">IF(F356="","",INDEX(Cripto!$A$1:$A$12,G356))</f>
        <v/>
      </c>
    </row>
    <row r="357" spans="2:8">
      <c r="B357" s="25"/>
      <c r="C357" s="16"/>
      <c r="D357" s="18"/>
      <c r="E357" s="26"/>
      <c r="F357" s="27"/>
      <c r="G357" s="28" t="str">
        <f t="shared" si="0"/>
        <v/>
      </c>
      <c r="H357" s="28" t="str">
        <f t="array" ref="H357">IF(F357="","",INDEX(Cripto!$A$1:$A$12,G357))</f>
        <v/>
      </c>
    </row>
    <row r="358" spans="2:8">
      <c r="B358" s="12"/>
      <c r="C358" s="16"/>
      <c r="D358" s="18"/>
      <c r="E358" s="19"/>
      <c r="F358" s="21"/>
      <c r="G358" s="22" t="str">
        <f t="shared" si="0"/>
        <v/>
      </c>
      <c r="H358" s="22" t="str">
        <f t="array" ref="H358">IF(F358="","",INDEX(Cripto!$A$1:$A$12,G358))</f>
        <v/>
      </c>
    </row>
    <row r="359" spans="2:8">
      <c r="B359" s="25"/>
      <c r="C359" s="16"/>
      <c r="D359" s="18"/>
      <c r="E359" s="26"/>
      <c r="F359" s="27"/>
      <c r="G359" s="28" t="str">
        <f t="shared" si="0"/>
        <v/>
      </c>
      <c r="H359" s="28" t="str">
        <f t="array" ref="H359">IF(F359="","",INDEX(Cripto!$A$1:$A$12,G359))</f>
        <v/>
      </c>
    </row>
    <row r="360" spans="2:8">
      <c r="B360" s="12"/>
      <c r="C360" s="16"/>
      <c r="D360" s="18"/>
      <c r="E360" s="19"/>
      <c r="F360" s="21"/>
      <c r="G360" s="22" t="str">
        <f t="shared" si="0"/>
        <v/>
      </c>
      <c r="H360" s="22" t="str">
        <f t="array" ref="H360">IF(F360="","",INDEX(Cripto!$A$1:$A$12,G360))</f>
        <v/>
      </c>
    </row>
    <row r="361" spans="2:8">
      <c r="B361" s="25"/>
      <c r="C361" s="16"/>
      <c r="D361" s="18"/>
      <c r="E361" s="26"/>
      <c r="F361" s="27"/>
      <c r="G361" s="28" t="str">
        <f t="shared" si="0"/>
        <v/>
      </c>
      <c r="H361" s="28" t="str">
        <f t="array" ref="H361">IF(F361="","",INDEX(Cripto!$A$1:$A$12,G361))</f>
        <v/>
      </c>
    </row>
    <row r="362" spans="2:8">
      <c r="B362" s="12"/>
      <c r="C362" s="16"/>
      <c r="D362" s="18"/>
      <c r="E362" s="19"/>
      <c r="F362" s="21"/>
      <c r="G362" s="22" t="str">
        <f t="shared" si="0"/>
        <v/>
      </c>
      <c r="H362" s="22" t="str">
        <f t="array" ref="H362">IF(F362="","",INDEX(Cripto!$A$1:$A$12,G362))</f>
        <v/>
      </c>
    </row>
    <row r="363" spans="2:8">
      <c r="B363" s="25"/>
      <c r="C363" s="16"/>
      <c r="D363" s="18"/>
      <c r="E363" s="26"/>
      <c r="F363" s="27"/>
      <c r="G363" s="28" t="str">
        <f t="shared" si="0"/>
        <v/>
      </c>
      <c r="H363" s="28" t="str">
        <f t="array" ref="H363">IF(F363="","",INDEX(Cripto!$A$1:$A$12,G363))</f>
        <v/>
      </c>
    </row>
    <row r="364" spans="2:8">
      <c r="B364" s="12"/>
      <c r="C364" s="16"/>
      <c r="D364" s="18"/>
      <c r="E364" s="19"/>
      <c r="F364" s="21"/>
      <c r="G364" s="22" t="str">
        <f t="shared" si="0"/>
        <v/>
      </c>
      <c r="H364" s="22" t="str">
        <f t="array" ref="H364">IF(F364="","",INDEX(Cripto!$A$1:$A$12,G364))</f>
        <v/>
      </c>
    </row>
    <row r="365" spans="2:8">
      <c r="B365" s="25"/>
      <c r="C365" s="16"/>
      <c r="D365" s="18"/>
      <c r="E365" s="26"/>
      <c r="F365" s="27"/>
      <c r="G365" s="28" t="str">
        <f t="shared" si="0"/>
        <v/>
      </c>
      <c r="H365" s="28" t="str">
        <f t="array" ref="H365">IF(F365="","",INDEX(Cripto!$A$1:$A$12,G365))</f>
        <v/>
      </c>
    </row>
    <row r="366" spans="2:8">
      <c r="B366" s="12"/>
      <c r="C366" s="16"/>
      <c r="D366" s="18"/>
      <c r="E366" s="19"/>
      <c r="F366" s="21"/>
      <c r="G366" s="22" t="str">
        <f t="shared" si="0"/>
        <v/>
      </c>
      <c r="H366" s="22" t="str">
        <f t="array" ref="H366">IF(F366="","",INDEX(Cripto!$A$1:$A$12,G366))</f>
        <v/>
      </c>
    </row>
    <row r="367" spans="2:8">
      <c r="B367" s="25"/>
      <c r="C367" s="16"/>
      <c r="D367" s="18"/>
      <c r="E367" s="26"/>
      <c r="F367" s="27"/>
      <c r="G367" s="28" t="str">
        <f t="shared" si="0"/>
        <v/>
      </c>
      <c r="H367" s="28" t="str">
        <f t="array" ref="H367">IF(F367="","",INDEX(Cripto!$A$1:$A$12,G367))</f>
        <v/>
      </c>
    </row>
    <row r="368" spans="2:8">
      <c r="B368" s="12"/>
      <c r="C368" s="16"/>
      <c r="D368" s="18"/>
      <c r="E368" s="19"/>
      <c r="F368" s="21"/>
      <c r="G368" s="22" t="str">
        <f t="shared" si="0"/>
        <v/>
      </c>
      <c r="H368" s="22" t="str">
        <f t="array" ref="H368">IF(F368="","",INDEX(Cripto!$A$1:$A$12,G368))</f>
        <v/>
      </c>
    </row>
    <row r="369" spans="2:8">
      <c r="B369" s="25"/>
      <c r="C369" s="16"/>
      <c r="D369" s="18"/>
      <c r="E369" s="26"/>
      <c r="F369" s="27"/>
      <c r="G369" s="28" t="str">
        <f t="shared" si="0"/>
        <v/>
      </c>
      <c r="H369" s="28" t="str">
        <f t="array" ref="H369">IF(F369="","",INDEX(Cripto!$A$1:$A$12,G369))</f>
        <v/>
      </c>
    </row>
    <row r="370" spans="2:8">
      <c r="B370" s="12"/>
      <c r="C370" s="16"/>
      <c r="D370" s="18"/>
      <c r="E370" s="19"/>
      <c r="F370" s="21"/>
      <c r="G370" s="22" t="str">
        <f t="shared" si="0"/>
        <v/>
      </c>
      <c r="H370" s="22" t="str">
        <f t="array" ref="H370">IF(F370="","",INDEX(Cripto!$A$1:$A$12,G370))</f>
        <v/>
      </c>
    </row>
    <row r="371" spans="2:8">
      <c r="B371" s="25"/>
      <c r="C371" s="16"/>
      <c r="D371" s="18"/>
      <c r="E371" s="26"/>
      <c r="F371" s="27"/>
      <c r="G371" s="28" t="str">
        <f t="shared" si="0"/>
        <v/>
      </c>
      <c r="H371" s="28" t="str">
        <f t="array" ref="H371">IF(F371="","",INDEX(Cripto!$A$1:$A$12,G371))</f>
        <v/>
      </c>
    </row>
    <row r="372" spans="2:8">
      <c r="B372" s="12"/>
      <c r="C372" s="16"/>
      <c r="D372" s="18"/>
      <c r="E372" s="19"/>
      <c r="F372" s="21"/>
      <c r="G372" s="22" t="str">
        <f t="shared" si="0"/>
        <v/>
      </c>
      <c r="H372" s="22" t="str">
        <f t="array" ref="H372">IF(F372="","",INDEX(Cripto!$A$1:$A$12,G372))</f>
        <v/>
      </c>
    </row>
    <row r="373" spans="2:8">
      <c r="B373" s="25"/>
      <c r="C373" s="16"/>
      <c r="D373" s="18"/>
      <c r="E373" s="26"/>
      <c r="F373" s="27"/>
      <c r="G373" s="28" t="str">
        <f t="shared" si="0"/>
        <v/>
      </c>
      <c r="H373" s="28" t="str">
        <f t="array" ref="H373">IF(F373="","",INDEX(Cripto!$A$1:$A$12,G373))</f>
        <v/>
      </c>
    </row>
    <row r="374" spans="2:8">
      <c r="B374" s="12"/>
      <c r="C374" s="16"/>
      <c r="D374" s="18"/>
      <c r="E374" s="19"/>
      <c r="F374" s="21"/>
      <c r="G374" s="22" t="str">
        <f t="shared" si="0"/>
        <v/>
      </c>
      <c r="H374" s="22" t="str">
        <f t="array" ref="H374">IF(F374="","",INDEX(Cripto!$A$1:$A$12,G374))</f>
        <v/>
      </c>
    </row>
    <row r="375" spans="2:8">
      <c r="B375" s="25"/>
      <c r="C375" s="16"/>
      <c r="D375" s="18"/>
      <c r="E375" s="26"/>
      <c r="F375" s="27"/>
      <c r="G375" s="28" t="str">
        <f t="shared" si="0"/>
        <v/>
      </c>
      <c r="H375" s="28" t="str">
        <f t="array" ref="H375">IF(F375="","",INDEX(Cripto!$A$1:$A$12,G375))</f>
        <v/>
      </c>
    </row>
    <row r="376" spans="2:8">
      <c r="B376" s="12"/>
      <c r="C376" s="16"/>
      <c r="D376" s="18"/>
      <c r="E376" s="19"/>
      <c r="F376" s="21"/>
      <c r="G376" s="22" t="str">
        <f t="shared" si="0"/>
        <v/>
      </c>
      <c r="H376" s="22" t="str">
        <f t="array" ref="H376">IF(F376="","",INDEX(Cripto!$A$1:$A$12,G376))</f>
        <v/>
      </c>
    </row>
    <row r="377" spans="2:8">
      <c r="B377" s="25"/>
      <c r="C377" s="16"/>
      <c r="D377" s="18"/>
      <c r="E377" s="26"/>
      <c r="F377" s="27"/>
      <c r="G377" s="28" t="str">
        <f t="shared" si="0"/>
        <v/>
      </c>
      <c r="H377" s="28" t="str">
        <f t="array" ref="H377">IF(F377="","",INDEX(Cripto!$A$1:$A$12,G377))</f>
        <v/>
      </c>
    </row>
    <row r="378" spans="2:8">
      <c r="B378" s="12"/>
      <c r="C378" s="16"/>
      <c r="D378" s="18"/>
      <c r="E378" s="19"/>
      <c r="F378" s="21"/>
      <c r="G378" s="22" t="str">
        <f t="shared" si="0"/>
        <v/>
      </c>
      <c r="H378" s="22" t="str">
        <f t="array" ref="H378">IF(F378="","",INDEX(Cripto!$A$1:$A$12,G378))</f>
        <v/>
      </c>
    </row>
    <row r="379" spans="2:8">
      <c r="B379" s="25"/>
      <c r="C379" s="16"/>
      <c r="D379" s="18"/>
      <c r="E379" s="26"/>
      <c r="F379" s="27"/>
      <c r="G379" s="28" t="str">
        <f t="shared" si="0"/>
        <v/>
      </c>
      <c r="H379" s="28" t="str">
        <f t="array" ref="H379">IF(F379="","",INDEX(Cripto!$A$1:$A$12,G379))</f>
        <v/>
      </c>
    </row>
    <row r="380" spans="2:8">
      <c r="B380" s="12"/>
      <c r="C380" s="16"/>
      <c r="D380" s="18"/>
      <c r="E380" s="19"/>
      <c r="F380" s="21"/>
      <c r="G380" s="22" t="str">
        <f t="shared" si="0"/>
        <v/>
      </c>
      <c r="H380" s="22" t="str">
        <f t="array" ref="H380">IF(F380="","",INDEX(Cripto!$A$1:$A$12,G380))</f>
        <v/>
      </c>
    </row>
    <row r="381" spans="2:8">
      <c r="B381" s="25"/>
      <c r="C381" s="16"/>
      <c r="D381" s="18"/>
      <c r="E381" s="26"/>
      <c r="F381" s="27"/>
      <c r="G381" s="28" t="str">
        <f t="shared" si="0"/>
        <v/>
      </c>
      <c r="H381" s="28" t="str">
        <f t="array" ref="H381">IF(F381="","",INDEX(Cripto!$A$1:$A$12,G381))</f>
        <v/>
      </c>
    </row>
    <row r="382" spans="2:8">
      <c r="B382" s="12"/>
      <c r="C382" s="16"/>
      <c r="D382" s="18"/>
      <c r="E382" s="19"/>
      <c r="F382" s="21"/>
      <c r="G382" s="22" t="str">
        <f t="shared" si="0"/>
        <v/>
      </c>
      <c r="H382" s="22" t="str">
        <f t="array" ref="H382">IF(F382="","",INDEX(Cripto!$A$1:$A$12,G382))</f>
        <v/>
      </c>
    </row>
    <row r="383" spans="2:8">
      <c r="B383" s="25"/>
      <c r="C383" s="16"/>
      <c r="D383" s="18"/>
      <c r="E383" s="26"/>
      <c r="F383" s="27"/>
      <c r="G383" s="28" t="str">
        <f t="shared" si="0"/>
        <v/>
      </c>
      <c r="H383" s="28" t="str">
        <f t="array" ref="H383">IF(F383="","",INDEX(Cripto!$A$1:$A$12,G383))</f>
        <v/>
      </c>
    </row>
    <row r="384" spans="2:8">
      <c r="B384" s="12"/>
      <c r="C384" s="16"/>
      <c r="D384" s="18"/>
      <c r="E384" s="19"/>
      <c r="F384" s="21"/>
      <c r="G384" s="22" t="str">
        <f t="shared" si="0"/>
        <v/>
      </c>
      <c r="H384" s="22" t="str">
        <f t="array" ref="H384">IF(F384="","",INDEX(Cripto!$A$1:$A$12,G384))</f>
        <v/>
      </c>
    </row>
    <row r="385" spans="2:8">
      <c r="B385" s="25"/>
      <c r="C385" s="16"/>
      <c r="D385" s="18"/>
      <c r="E385" s="26"/>
      <c r="F385" s="27"/>
      <c r="G385" s="28" t="str">
        <f t="shared" si="0"/>
        <v/>
      </c>
      <c r="H385" s="28" t="str">
        <f t="array" ref="H385">IF(F385="","",INDEX(Cripto!$A$1:$A$12,G385))</f>
        <v/>
      </c>
    </row>
    <row r="386" spans="2:8">
      <c r="B386" s="12"/>
      <c r="C386" s="16"/>
      <c r="D386" s="18"/>
      <c r="E386" s="19"/>
      <c r="F386" s="21"/>
      <c r="G386" s="22" t="str">
        <f t="shared" si="0"/>
        <v/>
      </c>
      <c r="H386" s="22" t="str">
        <f t="array" ref="H386">IF(F386="","",INDEX(Cripto!$A$1:$A$12,G386))</f>
        <v/>
      </c>
    </row>
    <row r="387" spans="2:8">
      <c r="B387" s="25"/>
      <c r="C387" s="16"/>
      <c r="D387" s="18"/>
      <c r="E387" s="26"/>
      <c r="F387" s="27"/>
      <c r="G387" s="28" t="str">
        <f t="shared" si="0"/>
        <v/>
      </c>
      <c r="H387" s="28" t="str">
        <f t="array" ref="H387">IF(F387="","",INDEX(Cripto!$A$1:$A$12,G387))</f>
        <v/>
      </c>
    </row>
    <row r="388" spans="2:8">
      <c r="B388" s="12"/>
      <c r="C388" s="16"/>
      <c r="D388" s="18"/>
      <c r="E388" s="19"/>
      <c r="F388" s="21"/>
      <c r="G388" s="22" t="str">
        <f t="shared" si="0"/>
        <v/>
      </c>
      <c r="H388" s="22" t="str">
        <f t="array" ref="H388">IF(F388="","",INDEX(Cripto!$A$1:$A$12,G388))</f>
        <v/>
      </c>
    </row>
    <row r="389" spans="2:8">
      <c r="B389" s="25"/>
      <c r="C389" s="16"/>
      <c r="D389" s="18"/>
      <c r="E389" s="26"/>
      <c r="F389" s="27"/>
      <c r="G389" s="28" t="str">
        <f t="shared" si="0"/>
        <v/>
      </c>
      <c r="H389" s="28" t="str">
        <f t="array" ref="H389">IF(F389="","",INDEX(Cripto!$A$1:$A$12,G389))</f>
        <v/>
      </c>
    </row>
    <row r="390" spans="2:8">
      <c r="B390" s="12"/>
      <c r="C390" s="16"/>
      <c r="D390" s="18"/>
      <c r="E390" s="19"/>
      <c r="F390" s="21"/>
      <c r="G390" s="22" t="str">
        <f t="shared" si="0"/>
        <v/>
      </c>
      <c r="H390" s="22" t="str">
        <f t="array" ref="H390">IF(F390="","",INDEX(Cripto!$A$1:$A$12,G390))</f>
        <v/>
      </c>
    </row>
    <row r="391" spans="2:8">
      <c r="B391" s="25"/>
      <c r="C391" s="16"/>
      <c r="D391" s="18"/>
      <c r="E391" s="26"/>
      <c r="F391" s="27"/>
      <c r="G391" s="28" t="str">
        <f t="shared" si="0"/>
        <v/>
      </c>
      <c r="H391" s="28" t="str">
        <f t="array" ref="H391">IF(F391="","",INDEX(Cripto!$A$1:$A$12,G391))</f>
        <v/>
      </c>
    </row>
    <row r="392" spans="2:8">
      <c r="B392" s="12"/>
      <c r="C392" s="16"/>
      <c r="D392" s="18"/>
      <c r="E392" s="19"/>
      <c r="F392" s="21"/>
      <c r="G392" s="22" t="str">
        <f t="shared" si="0"/>
        <v/>
      </c>
      <c r="H392" s="22" t="str">
        <f t="array" ref="H392">IF(F392="","",INDEX(Cripto!$A$1:$A$12,G392))</f>
        <v/>
      </c>
    </row>
    <row r="393" spans="2:8">
      <c r="B393" s="25"/>
      <c r="C393" s="16"/>
      <c r="D393" s="18"/>
      <c r="E393" s="26"/>
      <c r="F393" s="27"/>
      <c r="G393" s="28" t="str">
        <f t="shared" si="0"/>
        <v/>
      </c>
      <c r="H393" s="28" t="str">
        <f t="array" ref="H393">IF(F393="","",INDEX(Cripto!$A$1:$A$12,G393))</f>
        <v/>
      </c>
    </row>
    <row r="394" spans="2:8">
      <c r="B394" s="12"/>
      <c r="C394" s="16"/>
      <c r="D394" s="18"/>
      <c r="E394" s="19"/>
      <c r="F394" s="21"/>
      <c r="G394" s="22" t="str">
        <f t="shared" si="0"/>
        <v/>
      </c>
      <c r="H394" s="22" t="str">
        <f t="array" ref="H394">IF(F394="","",INDEX(Cripto!$A$1:$A$12,G394))</f>
        <v/>
      </c>
    </row>
    <row r="395" spans="2:8">
      <c r="B395" s="25"/>
      <c r="C395" s="16"/>
      <c r="D395" s="18"/>
      <c r="E395" s="26"/>
      <c r="F395" s="27"/>
      <c r="G395" s="28" t="str">
        <f t="shared" si="0"/>
        <v/>
      </c>
      <c r="H395" s="28" t="str">
        <f t="array" ref="H395">IF(F395="","",INDEX(Cripto!$A$1:$A$12,G395))</f>
        <v/>
      </c>
    </row>
    <row r="396" spans="2:8">
      <c r="B396" s="12"/>
      <c r="C396" s="16"/>
      <c r="D396" s="18"/>
      <c r="E396" s="19"/>
      <c r="F396" s="21"/>
      <c r="G396" s="22" t="str">
        <f t="shared" si="0"/>
        <v/>
      </c>
      <c r="H396" s="22" t="str">
        <f t="array" ref="H396">IF(F396="","",INDEX(Cripto!$A$1:$A$12,G396))</f>
        <v/>
      </c>
    </row>
    <row r="397" spans="2:8">
      <c r="B397" s="25"/>
      <c r="C397" s="16"/>
      <c r="D397" s="18"/>
      <c r="E397" s="26"/>
      <c r="F397" s="27"/>
      <c r="G397" s="28" t="str">
        <f t="shared" si="0"/>
        <v/>
      </c>
      <c r="H397" s="28" t="str">
        <f t="array" ref="H397">IF(F397="","",INDEX(Cripto!$A$1:$A$12,G397))</f>
        <v/>
      </c>
    </row>
    <row r="398" spans="2:8">
      <c r="B398" s="12"/>
      <c r="C398" s="16"/>
      <c r="D398" s="18"/>
      <c r="E398" s="19"/>
      <c r="F398" s="21"/>
      <c r="G398" s="22" t="str">
        <f t="shared" si="0"/>
        <v/>
      </c>
      <c r="H398" s="22" t="str">
        <f t="array" ref="H398">IF(F398="","",INDEX(Cripto!$A$1:$A$12,G398))</f>
        <v/>
      </c>
    </row>
    <row r="399" spans="2:8">
      <c r="B399" s="25"/>
      <c r="C399" s="16"/>
      <c r="D399" s="18"/>
      <c r="E399" s="26"/>
      <c r="F399" s="27"/>
      <c r="G399" s="28" t="str">
        <f t="shared" si="0"/>
        <v/>
      </c>
      <c r="H399" s="28" t="str">
        <f t="array" ref="H399">IF(F399="","",INDEX(Cripto!$A$1:$A$12,G399))</f>
        <v/>
      </c>
    </row>
    <row r="400" spans="2:8">
      <c r="B400" s="12"/>
      <c r="C400" s="16"/>
      <c r="D400" s="18"/>
      <c r="E400" s="19"/>
      <c r="F400" s="21"/>
      <c r="G400" s="22" t="str">
        <f t="shared" si="0"/>
        <v/>
      </c>
      <c r="H400" s="22" t="str">
        <f t="array" ref="H400">IF(F400="","",INDEX(Cripto!$A$1:$A$12,G400))</f>
        <v/>
      </c>
    </row>
    <row r="401" spans="2:8">
      <c r="B401" s="25"/>
      <c r="C401" s="16"/>
      <c r="D401" s="18"/>
      <c r="E401" s="26"/>
      <c r="F401" s="27"/>
      <c r="G401" s="28" t="str">
        <f t="shared" si="0"/>
        <v/>
      </c>
      <c r="H401" s="28" t="str">
        <f t="array" ref="H401">IF(F401="","",INDEX(Cripto!$A$1:$A$12,G401))</f>
        <v/>
      </c>
    </row>
    <row r="402" spans="2:8">
      <c r="B402" s="12"/>
      <c r="C402" s="16"/>
      <c r="D402" s="18"/>
      <c r="E402" s="19"/>
      <c r="F402" s="21"/>
      <c r="G402" s="22" t="str">
        <f t="shared" si="0"/>
        <v/>
      </c>
      <c r="H402" s="22" t="str">
        <f t="array" ref="H402">IF(F402="","",INDEX(Cripto!$A$1:$A$12,G402))</f>
        <v/>
      </c>
    </row>
    <row r="403" spans="2:8">
      <c r="B403" s="25"/>
      <c r="C403" s="16"/>
      <c r="D403" s="18"/>
      <c r="E403" s="26"/>
      <c r="F403" s="27"/>
      <c r="G403" s="28" t="str">
        <f t="shared" si="0"/>
        <v/>
      </c>
      <c r="H403" s="28" t="str">
        <f t="array" ref="H403">IF(F403="","",INDEX(Cripto!$A$1:$A$12,G403))</f>
        <v/>
      </c>
    </row>
    <row r="404" spans="2:8">
      <c r="B404" s="12"/>
      <c r="C404" s="16"/>
      <c r="D404" s="18"/>
      <c r="E404" s="19"/>
      <c r="F404" s="21"/>
      <c r="G404" s="22" t="str">
        <f t="shared" si="0"/>
        <v/>
      </c>
      <c r="H404" s="22" t="str">
        <f t="array" ref="H404">IF(F404="","",INDEX(Cripto!$A$1:$A$12,G404))</f>
        <v/>
      </c>
    </row>
    <row r="405" spans="2:8">
      <c r="B405" s="25"/>
      <c r="C405" s="16"/>
      <c r="D405" s="18"/>
      <c r="E405" s="26"/>
      <c r="F405" s="27"/>
      <c r="G405" s="28" t="str">
        <f t="shared" si="0"/>
        <v/>
      </c>
      <c r="H405" s="28" t="str">
        <f t="array" ref="H405">IF(F405="","",INDEX(Cripto!$A$1:$A$12,G405))</f>
        <v/>
      </c>
    </row>
    <row r="406" spans="2:8">
      <c r="B406" s="12"/>
      <c r="C406" s="16"/>
      <c r="D406" s="18"/>
      <c r="E406" s="19"/>
      <c r="F406" s="21"/>
      <c r="G406" s="22" t="str">
        <f t="shared" si="0"/>
        <v/>
      </c>
      <c r="H406" s="22" t="str">
        <f t="array" ref="H406">IF(F406="","",INDEX(Cripto!$A$1:$A$12,G406))</f>
        <v/>
      </c>
    </row>
    <row r="407" spans="2:8">
      <c r="B407" s="25"/>
      <c r="C407" s="16"/>
      <c r="D407" s="18"/>
      <c r="E407" s="26"/>
      <c r="F407" s="27"/>
      <c r="G407" s="28" t="str">
        <f t="shared" si="0"/>
        <v/>
      </c>
      <c r="H407" s="28" t="str">
        <f t="array" ref="H407">IF(F407="","",INDEX(Cripto!$A$1:$A$12,G407))</f>
        <v/>
      </c>
    </row>
    <row r="408" spans="2:8">
      <c r="B408" s="12"/>
      <c r="C408" s="16"/>
      <c r="D408" s="18"/>
      <c r="E408" s="19"/>
      <c r="F408" s="21"/>
      <c r="G408" s="22" t="str">
        <f t="shared" si="0"/>
        <v/>
      </c>
      <c r="H408" s="22" t="str">
        <f t="array" ref="H408">IF(F408="","",INDEX(Cripto!$A$1:$A$12,G408))</f>
        <v/>
      </c>
    </row>
    <row r="409" spans="2:8">
      <c r="B409" s="25"/>
      <c r="C409" s="16"/>
      <c r="D409" s="18"/>
      <c r="E409" s="26"/>
      <c r="F409" s="27"/>
      <c r="G409" s="28" t="str">
        <f t="shared" si="0"/>
        <v/>
      </c>
      <c r="H409" s="28" t="str">
        <f t="array" ref="H409">IF(F409="","",INDEX(Cripto!$A$1:$A$12,G409))</f>
        <v/>
      </c>
    </row>
    <row r="410" spans="2:8">
      <c r="B410" s="12"/>
      <c r="C410" s="16"/>
      <c r="D410" s="18"/>
      <c r="E410" s="19"/>
      <c r="F410" s="21"/>
      <c r="G410" s="22" t="str">
        <f t="shared" si="0"/>
        <v/>
      </c>
      <c r="H410" s="22" t="str">
        <f t="array" ref="H410">IF(F410="","",INDEX(Cripto!$A$1:$A$12,G410))</f>
        <v/>
      </c>
    </row>
    <row r="411" spans="2:8">
      <c r="B411" s="25"/>
      <c r="C411" s="16"/>
      <c r="D411" s="18"/>
      <c r="E411" s="26"/>
      <c r="F411" s="27"/>
      <c r="G411" s="28" t="str">
        <f t="shared" si="0"/>
        <v/>
      </c>
      <c r="H411" s="28" t="str">
        <f t="array" ref="H411">IF(F411="","",INDEX(Cripto!$A$1:$A$12,G411))</f>
        <v/>
      </c>
    </row>
    <row r="412" spans="2:8">
      <c r="B412" s="12"/>
      <c r="C412" s="16"/>
      <c r="D412" s="18"/>
      <c r="E412" s="19"/>
      <c r="F412" s="21"/>
      <c r="G412" s="22" t="str">
        <f t="shared" si="0"/>
        <v/>
      </c>
      <c r="H412" s="22" t="str">
        <f t="array" ref="H412">IF(F412="","",INDEX(Cripto!$A$1:$A$12,G412))</f>
        <v/>
      </c>
    </row>
    <row r="413" spans="2:8">
      <c r="B413" s="25"/>
      <c r="C413" s="16"/>
      <c r="D413" s="18"/>
      <c r="E413" s="26"/>
      <c r="F413" s="27"/>
      <c r="G413" s="28" t="str">
        <f t="shared" si="0"/>
        <v/>
      </c>
      <c r="H413" s="28" t="str">
        <f t="array" ref="H413">IF(F413="","",INDEX(Cripto!$A$1:$A$12,G413))</f>
        <v/>
      </c>
    </row>
    <row r="414" spans="2:8">
      <c r="B414" s="12"/>
      <c r="C414" s="16"/>
      <c r="D414" s="18"/>
      <c r="E414" s="19"/>
      <c r="F414" s="21"/>
      <c r="G414" s="22" t="str">
        <f t="shared" si="0"/>
        <v/>
      </c>
      <c r="H414" s="22" t="str">
        <f t="array" ref="H414">IF(F414="","",INDEX(Cripto!$A$1:$A$12,G414))</f>
        <v/>
      </c>
    </row>
    <row r="415" spans="2:8">
      <c r="B415" s="25"/>
      <c r="C415" s="16"/>
      <c r="D415" s="18"/>
      <c r="E415" s="26"/>
      <c r="F415" s="27"/>
      <c r="G415" s="28" t="str">
        <f t="shared" si="0"/>
        <v/>
      </c>
      <c r="H415" s="28" t="str">
        <f t="array" ref="H415">IF(F415="","",INDEX(Cripto!$A$1:$A$12,G415))</f>
        <v/>
      </c>
    </row>
    <row r="416" spans="2:8">
      <c r="B416" s="12"/>
      <c r="C416" s="16"/>
      <c r="D416" s="18"/>
      <c r="E416" s="19"/>
      <c r="F416" s="21"/>
      <c r="G416" s="22" t="str">
        <f t="shared" si="0"/>
        <v/>
      </c>
      <c r="H416" s="22" t="str">
        <f t="array" ref="H416">IF(F416="","",INDEX(Cripto!$A$1:$A$12,G416))</f>
        <v/>
      </c>
    </row>
    <row r="417" spans="2:8">
      <c r="B417" s="25"/>
      <c r="C417" s="16"/>
      <c r="D417" s="18"/>
      <c r="E417" s="26"/>
      <c r="F417" s="27"/>
      <c r="G417" s="28" t="str">
        <f t="shared" si="0"/>
        <v/>
      </c>
      <c r="H417" s="28" t="str">
        <f t="array" ref="H417">IF(F417="","",INDEX(Cripto!$A$1:$A$12,G417))</f>
        <v/>
      </c>
    </row>
    <row r="418" spans="2:8">
      <c r="B418" s="12"/>
      <c r="C418" s="16"/>
      <c r="D418" s="18"/>
      <c r="E418" s="19"/>
      <c r="F418" s="21"/>
      <c r="G418" s="22" t="str">
        <f t="shared" si="0"/>
        <v/>
      </c>
      <c r="H418" s="22" t="str">
        <f t="array" ref="H418">IF(F418="","",INDEX(Cripto!$A$1:$A$12,G418))</f>
        <v/>
      </c>
    </row>
    <row r="419" spans="2:8">
      <c r="B419" s="25"/>
      <c r="C419" s="16"/>
      <c r="D419" s="18"/>
      <c r="E419" s="26"/>
      <c r="F419" s="27"/>
      <c r="G419" s="28" t="str">
        <f t="shared" si="0"/>
        <v/>
      </c>
      <c r="H419" s="28" t="str">
        <f t="array" ref="H419">IF(F419="","",INDEX(Cripto!$A$1:$A$12,G419))</f>
        <v/>
      </c>
    </row>
    <row r="420" spans="2:8">
      <c r="B420" s="12"/>
      <c r="C420" s="16"/>
      <c r="D420" s="18"/>
      <c r="E420" s="19"/>
      <c r="F420" s="21"/>
      <c r="G420" s="22" t="str">
        <f t="shared" si="0"/>
        <v/>
      </c>
      <c r="H420" s="22" t="str">
        <f t="array" ref="H420">IF(F420="","",INDEX(Cripto!$A$1:$A$12,G420))</f>
        <v/>
      </c>
    </row>
    <row r="421" spans="2:8">
      <c r="B421" s="25"/>
      <c r="C421" s="16"/>
      <c r="D421" s="18"/>
      <c r="E421" s="26"/>
      <c r="F421" s="27"/>
      <c r="G421" s="28" t="str">
        <f t="shared" si="0"/>
        <v/>
      </c>
      <c r="H421" s="28" t="str">
        <f t="array" ref="H421">IF(F421="","",INDEX(Cripto!$A$1:$A$12,G421))</f>
        <v/>
      </c>
    </row>
    <row r="422" spans="2:8">
      <c r="B422" s="12"/>
      <c r="C422" s="16"/>
      <c r="D422" s="18"/>
      <c r="E422" s="19"/>
      <c r="F422" s="21"/>
      <c r="G422" s="22" t="str">
        <f t="shared" si="0"/>
        <v/>
      </c>
      <c r="H422" s="22" t="str">
        <f t="array" ref="H422">IF(F422="","",INDEX(Cripto!$A$1:$A$12,G422))</f>
        <v/>
      </c>
    </row>
    <row r="423" spans="2:8">
      <c r="B423" s="25"/>
      <c r="C423" s="16"/>
      <c r="D423" s="18"/>
      <c r="E423" s="26"/>
      <c r="F423" s="27"/>
      <c r="G423" s="28" t="str">
        <f t="shared" si="0"/>
        <v/>
      </c>
      <c r="H423" s="28" t="str">
        <f t="array" ref="H423">IF(F423="","",INDEX(Cripto!$A$1:$A$12,G423))</f>
        <v/>
      </c>
    </row>
    <row r="424" spans="2:8">
      <c r="B424" s="12"/>
      <c r="C424" s="16"/>
      <c r="D424" s="18"/>
      <c r="E424" s="19"/>
      <c r="F424" s="21"/>
      <c r="G424" s="22" t="str">
        <f t="shared" si="0"/>
        <v/>
      </c>
      <c r="H424" s="22" t="str">
        <f t="array" ref="H424">IF(F424="","",INDEX(Cripto!$A$1:$A$12,G424))</f>
        <v/>
      </c>
    </row>
    <row r="425" spans="2:8">
      <c r="B425" s="25"/>
      <c r="C425" s="16"/>
      <c r="D425" s="18"/>
      <c r="E425" s="26"/>
      <c r="F425" s="27"/>
      <c r="G425" s="28" t="str">
        <f t="shared" si="0"/>
        <v/>
      </c>
      <c r="H425" s="28" t="str">
        <f t="array" ref="H425">IF(F425="","",INDEX(Cripto!$A$1:$A$12,G425))</f>
        <v/>
      </c>
    </row>
    <row r="426" spans="2:8">
      <c r="B426" s="12"/>
      <c r="C426" s="16"/>
      <c r="D426" s="18"/>
      <c r="E426" s="19"/>
      <c r="F426" s="21"/>
      <c r="G426" s="22" t="str">
        <f t="shared" si="0"/>
        <v/>
      </c>
      <c r="H426" s="22" t="str">
        <f t="array" ref="H426">IF(F426="","",INDEX(Cripto!$A$1:$A$12,G426))</f>
        <v/>
      </c>
    </row>
    <row r="427" spans="2:8">
      <c r="B427" s="25"/>
      <c r="C427" s="16"/>
      <c r="D427" s="18"/>
      <c r="E427" s="26"/>
      <c r="F427" s="27"/>
      <c r="G427" s="28" t="str">
        <f t="shared" si="0"/>
        <v/>
      </c>
      <c r="H427" s="28" t="str">
        <f t="array" ref="H427">IF(F427="","",INDEX(Cripto!$A$1:$A$12,G427))</f>
        <v/>
      </c>
    </row>
    <row r="428" spans="2:8">
      <c r="B428" s="12"/>
      <c r="C428" s="16"/>
      <c r="D428" s="18"/>
      <c r="E428" s="19"/>
      <c r="F428" s="21"/>
      <c r="G428" s="22" t="str">
        <f t="shared" si="0"/>
        <v/>
      </c>
      <c r="H428" s="22" t="str">
        <f t="array" ref="H428">IF(F428="","",INDEX(Cripto!$A$1:$A$12,G428))</f>
        <v/>
      </c>
    </row>
    <row r="429" spans="2:8">
      <c r="B429" s="25"/>
      <c r="C429" s="16"/>
      <c r="D429" s="18"/>
      <c r="E429" s="26"/>
      <c r="F429" s="27"/>
      <c r="G429" s="28" t="str">
        <f t="shared" si="0"/>
        <v/>
      </c>
      <c r="H429" s="28" t="str">
        <f t="array" ref="H429">IF(F429="","",INDEX(Cripto!$A$1:$A$12,G429))</f>
        <v/>
      </c>
    </row>
    <row r="430" spans="2:8">
      <c r="B430" s="12"/>
      <c r="C430" s="16"/>
      <c r="D430" s="18"/>
      <c r="E430" s="19"/>
      <c r="F430" s="21"/>
      <c r="G430" s="22" t="str">
        <f t="shared" si="0"/>
        <v/>
      </c>
      <c r="H430" s="22" t="str">
        <f t="array" ref="H430">IF(F430="","",INDEX(Cripto!$A$1:$A$12,G430))</f>
        <v/>
      </c>
    </row>
    <row r="431" spans="2:8">
      <c r="B431" s="25"/>
      <c r="C431" s="16"/>
      <c r="D431" s="18"/>
      <c r="E431" s="26"/>
      <c r="F431" s="27"/>
      <c r="G431" s="28" t="str">
        <f t="shared" si="0"/>
        <v/>
      </c>
      <c r="H431" s="28" t="str">
        <f t="array" ref="H431">IF(F431="","",INDEX(Cripto!$A$1:$A$12,G431))</f>
        <v/>
      </c>
    </row>
    <row r="432" spans="2:8">
      <c r="B432" s="12"/>
      <c r="C432" s="16"/>
      <c r="D432" s="18"/>
      <c r="E432" s="19"/>
      <c r="F432" s="21"/>
      <c r="G432" s="22" t="str">
        <f t="shared" si="0"/>
        <v/>
      </c>
      <c r="H432" s="22" t="str">
        <f t="array" ref="H432">IF(F432="","",INDEX(Cripto!$A$1:$A$12,G432))</f>
        <v/>
      </c>
    </row>
    <row r="433" spans="2:8">
      <c r="B433" s="25"/>
      <c r="C433" s="16"/>
      <c r="D433" s="18"/>
      <c r="E433" s="26"/>
      <c r="F433" s="27"/>
      <c r="G433" s="28" t="str">
        <f t="shared" si="0"/>
        <v/>
      </c>
      <c r="H433" s="28" t="str">
        <f t="array" ref="H433">IF(F433="","",INDEX(Cripto!$A$1:$A$12,G433))</f>
        <v/>
      </c>
    </row>
    <row r="434" spans="2:8">
      <c r="B434" s="12"/>
      <c r="C434" s="16"/>
      <c r="D434" s="18"/>
      <c r="E434" s="19"/>
      <c r="F434" s="21"/>
      <c r="G434" s="22" t="str">
        <f t="shared" si="0"/>
        <v/>
      </c>
      <c r="H434" s="22" t="str">
        <f t="array" ref="H434">IF(F434="","",INDEX(Cripto!$A$1:$A$12,G434))</f>
        <v/>
      </c>
    </row>
    <row r="435" spans="2:8">
      <c r="B435" s="25"/>
      <c r="C435" s="16"/>
      <c r="D435" s="18"/>
      <c r="E435" s="26"/>
      <c r="F435" s="27"/>
      <c r="G435" s="28" t="str">
        <f t="shared" si="0"/>
        <v/>
      </c>
      <c r="H435" s="28" t="str">
        <f t="array" ref="H435">IF(F435="","",INDEX(Cripto!$A$1:$A$12,G435))</f>
        <v/>
      </c>
    </row>
    <row r="436" spans="2:8">
      <c r="B436" s="12"/>
      <c r="C436" s="16"/>
      <c r="D436" s="18"/>
      <c r="E436" s="19"/>
      <c r="F436" s="21"/>
      <c r="G436" s="22" t="str">
        <f t="shared" si="0"/>
        <v/>
      </c>
      <c r="H436" s="22" t="str">
        <f t="array" ref="H436">IF(F436="","",INDEX(Cripto!$A$1:$A$12,G436))</f>
        <v/>
      </c>
    </row>
    <row r="437" spans="2:8">
      <c r="B437" s="25"/>
      <c r="C437" s="16"/>
      <c r="D437" s="18"/>
      <c r="E437" s="26"/>
      <c r="F437" s="27"/>
      <c r="G437" s="28" t="str">
        <f t="shared" si="0"/>
        <v/>
      </c>
      <c r="H437" s="28" t="str">
        <f t="array" ref="H437">IF(F437="","",INDEX(Cripto!$A$1:$A$12,G437))</f>
        <v/>
      </c>
    </row>
    <row r="438" spans="2:8">
      <c r="B438" s="12"/>
      <c r="C438" s="16"/>
      <c r="D438" s="18"/>
      <c r="E438" s="19"/>
      <c r="F438" s="21"/>
      <c r="G438" s="22" t="str">
        <f t="shared" si="0"/>
        <v/>
      </c>
      <c r="H438" s="22" t="str">
        <f t="array" ref="H438">IF(F438="","",INDEX(Cripto!$A$1:$A$12,G438))</f>
        <v/>
      </c>
    </row>
    <row r="439" spans="2:8">
      <c r="B439" s="25"/>
      <c r="C439" s="16"/>
      <c r="D439" s="18"/>
      <c r="E439" s="26"/>
      <c r="F439" s="27"/>
      <c r="G439" s="28" t="str">
        <f t="shared" si="0"/>
        <v/>
      </c>
      <c r="H439" s="28" t="str">
        <f t="array" ref="H439">IF(F439="","",INDEX(Cripto!$A$1:$A$12,G439))</f>
        <v/>
      </c>
    </row>
    <row r="440" spans="2:8">
      <c r="B440" s="12"/>
      <c r="C440" s="16"/>
      <c r="D440" s="18"/>
      <c r="E440" s="19"/>
      <c r="F440" s="21"/>
      <c r="G440" s="22" t="str">
        <f t="shared" si="0"/>
        <v/>
      </c>
      <c r="H440" s="22" t="str">
        <f t="array" ref="H440">IF(F440="","",INDEX(Cripto!$A$1:$A$12,G440))</f>
        <v/>
      </c>
    </row>
    <row r="441" spans="2:8">
      <c r="B441" s="25"/>
      <c r="C441" s="16"/>
      <c r="D441" s="18"/>
      <c r="E441" s="26"/>
      <c r="F441" s="27"/>
      <c r="G441" s="28" t="str">
        <f t="shared" si="0"/>
        <v/>
      </c>
      <c r="H441" s="28" t="str">
        <f t="array" ref="H441">IF(F441="","",INDEX(Cripto!$A$1:$A$12,G441))</f>
        <v/>
      </c>
    </row>
    <row r="442" spans="2:8">
      <c r="B442" s="12"/>
      <c r="C442" s="16"/>
      <c r="D442" s="18"/>
      <c r="E442" s="19"/>
      <c r="F442" s="21"/>
      <c r="G442" s="22" t="str">
        <f t="shared" si="0"/>
        <v/>
      </c>
      <c r="H442" s="22" t="str">
        <f t="array" ref="H442">IF(F442="","",INDEX(Cripto!$A$1:$A$12,G442))</f>
        <v/>
      </c>
    </row>
    <row r="443" spans="2:8">
      <c r="B443" s="25"/>
      <c r="C443" s="16"/>
      <c r="D443" s="18"/>
      <c r="E443" s="26"/>
      <c r="F443" s="27"/>
      <c r="G443" s="28" t="str">
        <f t="shared" si="0"/>
        <v/>
      </c>
      <c r="H443" s="28" t="str">
        <f t="array" ref="H443">IF(F443="","",INDEX(Cripto!$A$1:$A$12,G443))</f>
        <v/>
      </c>
    </row>
    <row r="444" spans="2:8">
      <c r="B444" s="12"/>
      <c r="C444" s="16"/>
      <c r="D444" s="18"/>
      <c r="E444" s="19"/>
      <c r="F444" s="21"/>
      <c r="G444" s="22" t="str">
        <f t="shared" si="0"/>
        <v/>
      </c>
      <c r="H444" s="22" t="str">
        <f t="array" ref="H444">IF(F444="","",INDEX(Cripto!$A$1:$A$12,G444))</f>
        <v/>
      </c>
    </row>
    <row r="445" spans="2:8">
      <c r="B445" s="25"/>
      <c r="C445" s="16"/>
      <c r="D445" s="18"/>
      <c r="E445" s="26"/>
      <c r="F445" s="27"/>
      <c r="G445" s="28" t="str">
        <f t="shared" si="0"/>
        <v/>
      </c>
      <c r="H445" s="28" t="str">
        <f t="array" ref="H445">IF(F445="","",INDEX(Cripto!$A$1:$A$12,G445))</f>
        <v/>
      </c>
    </row>
    <row r="446" spans="2:8">
      <c r="B446" s="12"/>
      <c r="C446" s="16"/>
      <c r="D446" s="18"/>
      <c r="E446" s="19"/>
      <c r="F446" s="21"/>
      <c r="G446" s="22" t="str">
        <f t="shared" si="0"/>
        <v/>
      </c>
      <c r="H446" s="22" t="str">
        <f t="array" ref="H446">IF(F446="","",INDEX(Cripto!$A$1:$A$12,G446))</f>
        <v/>
      </c>
    </row>
    <row r="447" spans="2:8">
      <c r="B447" s="25"/>
      <c r="C447" s="16"/>
      <c r="D447" s="18"/>
      <c r="E447" s="26"/>
      <c r="F447" s="27"/>
      <c r="G447" s="28" t="str">
        <f t="shared" si="0"/>
        <v/>
      </c>
      <c r="H447" s="28" t="str">
        <f t="array" ref="H447">IF(F447="","",INDEX(Cripto!$A$1:$A$12,G447))</f>
        <v/>
      </c>
    </row>
    <row r="448" spans="2:8">
      <c r="B448" s="12"/>
      <c r="C448" s="16"/>
      <c r="D448" s="18"/>
      <c r="E448" s="19"/>
      <c r="F448" s="21"/>
      <c r="G448" s="22" t="str">
        <f t="shared" si="0"/>
        <v/>
      </c>
      <c r="H448" s="22" t="str">
        <f t="array" ref="H448">IF(F448="","",INDEX(Cripto!$A$1:$A$12,G448))</f>
        <v/>
      </c>
    </row>
    <row r="449" spans="2:8">
      <c r="B449" s="25"/>
      <c r="C449" s="16"/>
      <c r="D449" s="18"/>
      <c r="E449" s="26"/>
      <c r="F449" s="27"/>
      <c r="G449" s="28" t="str">
        <f t="shared" si="0"/>
        <v/>
      </c>
      <c r="H449" s="28" t="str">
        <f t="array" ref="H449">IF(F449="","",INDEX(Cripto!$A$1:$A$12,G449))</f>
        <v/>
      </c>
    </row>
    <row r="450" spans="2:8">
      <c r="B450" s="12"/>
      <c r="C450" s="16"/>
      <c r="D450" s="18"/>
      <c r="E450" s="19"/>
      <c r="F450" s="21"/>
      <c r="G450" s="22" t="str">
        <f t="shared" si="0"/>
        <v/>
      </c>
      <c r="H450" s="22" t="str">
        <f t="array" ref="H450">IF(F450="","",INDEX(Cripto!$A$1:$A$12,G450))</f>
        <v/>
      </c>
    </row>
    <row r="451" spans="2:8">
      <c r="B451" s="25"/>
      <c r="C451" s="16"/>
      <c r="D451" s="18"/>
      <c r="E451" s="26"/>
      <c r="F451" s="27"/>
      <c r="G451" s="28" t="str">
        <f t="shared" si="0"/>
        <v/>
      </c>
      <c r="H451" s="28" t="str">
        <f t="array" ref="H451">IF(F451="","",INDEX(Cripto!$A$1:$A$12,G451))</f>
        <v/>
      </c>
    </row>
    <row r="452" spans="2:8">
      <c r="B452" s="12"/>
      <c r="C452" s="16"/>
      <c r="D452" s="18"/>
      <c r="E452" s="19"/>
      <c r="F452" s="21"/>
      <c r="G452" s="22" t="str">
        <f t="shared" si="0"/>
        <v/>
      </c>
      <c r="H452" s="22" t="str">
        <f t="array" ref="H452">IF(F452="","",INDEX(Cripto!$A$1:$A$12,G452))</f>
        <v/>
      </c>
    </row>
    <row r="453" spans="2:8">
      <c r="B453" s="25"/>
      <c r="C453" s="16"/>
      <c r="D453" s="18"/>
      <c r="E453" s="26"/>
      <c r="F453" s="27"/>
      <c r="G453" s="28" t="str">
        <f t="shared" si="0"/>
        <v/>
      </c>
      <c r="H453" s="28" t="str">
        <f t="array" ref="H453">IF(F453="","",INDEX(Cripto!$A$1:$A$12,G453))</f>
        <v/>
      </c>
    </row>
    <row r="454" spans="2:8">
      <c r="B454" s="12"/>
      <c r="C454" s="16"/>
      <c r="D454" s="18"/>
      <c r="E454" s="19"/>
      <c r="F454" s="21"/>
      <c r="G454" s="22" t="str">
        <f t="shared" si="0"/>
        <v/>
      </c>
      <c r="H454" s="22" t="str">
        <f t="array" ref="H454">IF(F454="","",INDEX(Cripto!$A$1:$A$12,G454))</f>
        <v/>
      </c>
    </row>
    <row r="455" spans="2:8">
      <c r="B455" s="25"/>
      <c r="C455" s="16"/>
      <c r="D455" s="18"/>
      <c r="E455" s="26"/>
      <c r="F455" s="27"/>
      <c r="G455" s="28" t="str">
        <f t="shared" si="0"/>
        <v/>
      </c>
      <c r="H455" s="28" t="str">
        <f t="array" ref="H455">IF(F455="","",INDEX(Cripto!$A$1:$A$12,G455))</f>
        <v/>
      </c>
    </row>
    <row r="456" spans="2:8">
      <c r="B456" s="12"/>
      <c r="C456" s="16"/>
      <c r="D456" s="18"/>
      <c r="E456" s="19"/>
      <c r="F456" s="21"/>
      <c r="G456" s="22" t="str">
        <f t="shared" si="0"/>
        <v/>
      </c>
      <c r="H456" s="22" t="str">
        <f t="array" ref="H456">IF(F456="","",INDEX(Cripto!$A$1:$A$12,G456))</f>
        <v/>
      </c>
    </row>
    <row r="457" spans="2:8">
      <c r="B457" s="25"/>
      <c r="C457" s="16"/>
      <c r="D457" s="18"/>
      <c r="E457" s="26"/>
      <c r="F457" s="27"/>
      <c r="G457" s="28" t="str">
        <f t="shared" si="0"/>
        <v/>
      </c>
      <c r="H457" s="28" t="str">
        <f t="array" ref="H457">IF(F457="","",INDEX(Cripto!$A$1:$A$12,G457))</f>
        <v/>
      </c>
    </row>
    <row r="458" spans="2:8">
      <c r="B458" s="12"/>
      <c r="C458" s="16"/>
      <c r="D458" s="18"/>
      <c r="E458" s="19"/>
      <c r="F458" s="21"/>
      <c r="G458" s="22" t="str">
        <f t="shared" si="0"/>
        <v/>
      </c>
      <c r="H458" s="22" t="str">
        <f t="array" ref="H458">IF(F458="","",INDEX(Cripto!$A$1:$A$12,G458))</f>
        <v/>
      </c>
    </row>
    <row r="459" spans="2:8">
      <c r="B459" s="25"/>
      <c r="C459" s="16"/>
      <c r="D459" s="18"/>
      <c r="E459" s="26"/>
      <c r="F459" s="27"/>
      <c r="G459" s="28" t="str">
        <f t="shared" si="0"/>
        <v/>
      </c>
      <c r="H459" s="28" t="str">
        <f t="array" ref="H459">IF(F459="","",INDEX(Cripto!$A$1:$A$12,G459))</f>
        <v/>
      </c>
    </row>
    <row r="460" spans="2:8">
      <c r="B460" s="12"/>
      <c r="C460" s="16"/>
      <c r="D460" s="18"/>
      <c r="E460" s="19"/>
      <c r="F460" s="21"/>
      <c r="G460" s="22" t="str">
        <f t="shared" si="0"/>
        <v/>
      </c>
      <c r="H460" s="22" t="str">
        <f t="array" ref="H460">IF(F460="","",INDEX(Cripto!$A$1:$A$12,G460))</f>
        <v/>
      </c>
    </row>
    <row r="461" spans="2:8">
      <c r="B461" s="25"/>
      <c r="C461" s="16"/>
      <c r="D461" s="18"/>
      <c r="E461" s="26"/>
      <c r="F461" s="27"/>
      <c r="G461" s="28" t="str">
        <f t="shared" si="0"/>
        <v/>
      </c>
      <c r="H461" s="28" t="str">
        <f t="array" ref="H461">IF(F461="","",INDEX(Cripto!$A$1:$A$12,G461))</f>
        <v/>
      </c>
    </row>
    <row r="462" spans="2:8">
      <c r="B462" s="12"/>
      <c r="C462" s="16"/>
      <c r="D462" s="18"/>
      <c r="E462" s="19"/>
      <c r="F462" s="21"/>
      <c r="G462" s="22" t="str">
        <f t="shared" si="0"/>
        <v/>
      </c>
      <c r="H462" s="22" t="str">
        <f t="array" ref="H462">IF(F462="","",INDEX(Cripto!$A$1:$A$12,G462))</f>
        <v/>
      </c>
    </row>
    <row r="463" spans="2:8">
      <c r="B463" s="25"/>
      <c r="C463" s="16"/>
      <c r="D463" s="18"/>
      <c r="E463" s="26"/>
      <c r="F463" s="27"/>
      <c r="G463" s="28" t="str">
        <f t="shared" si="0"/>
        <v/>
      </c>
      <c r="H463" s="28" t="str">
        <f t="array" ref="H463">IF(F463="","",INDEX(Cripto!$A$1:$A$12,G463))</f>
        <v/>
      </c>
    </row>
    <row r="464" spans="2:8">
      <c r="B464" s="12"/>
      <c r="C464" s="16"/>
      <c r="D464" s="18"/>
      <c r="E464" s="19"/>
      <c r="F464" s="21"/>
      <c r="G464" s="22" t="str">
        <f t="shared" si="0"/>
        <v/>
      </c>
      <c r="H464" s="22" t="str">
        <f t="array" ref="H464">IF(F464="","",INDEX(Cripto!$A$1:$A$12,G464))</f>
        <v/>
      </c>
    </row>
    <row r="465" spans="2:8">
      <c r="B465" s="25"/>
      <c r="C465" s="16"/>
      <c r="D465" s="18"/>
      <c r="E465" s="26"/>
      <c r="F465" s="27"/>
      <c r="G465" s="28" t="str">
        <f t="shared" si="0"/>
        <v/>
      </c>
      <c r="H465" s="28" t="str">
        <f t="array" ref="H465">IF(F465="","",INDEX(Cripto!$A$1:$A$12,G465))</f>
        <v/>
      </c>
    </row>
    <row r="466" spans="2:8">
      <c r="B466" s="12"/>
      <c r="C466" s="16"/>
      <c r="D466" s="18"/>
      <c r="E466" s="19"/>
      <c r="F466" s="21"/>
      <c r="G466" s="22" t="str">
        <f t="shared" si="0"/>
        <v/>
      </c>
      <c r="H466" s="22" t="str">
        <f t="array" ref="H466">IF(F466="","",INDEX(Cripto!$A$1:$A$12,G466))</f>
        <v/>
      </c>
    </row>
    <row r="467" spans="2:8">
      <c r="B467" s="25"/>
      <c r="C467" s="16"/>
      <c r="D467" s="18"/>
      <c r="E467" s="26"/>
      <c r="F467" s="27"/>
      <c r="G467" s="28" t="str">
        <f t="shared" si="0"/>
        <v/>
      </c>
      <c r="H467" s="28" t="str">
        <f t="array" ref="H467">IF(F467="","",INDEX(Cripto!$A$1:$A$12,G467))</f>
        <v/>
      </c>
    </row>
    <row r="468" spans="2:8">
      <c r="B468" s="12"/>
      <c r="C468" s="16"/>
      <c r="D468" s="18"/>
      <c r="E468" s="19"/>
      <c r="F468" s="21"/>
      <c r="G468" s="22" t="str">
        <f t="shared" si="0"/>
        <v/>
      </c>
      <c r="H468" s="22" t="str">
        <f t="array" ref="H468">IF(F468="","",INDEX(Cripto!$A$1:$A$12,G468))</f>
        <v/>
      </c>
    </row>
    <row r="469" spans="2:8">
      <c r="B469" s="25"/>
      <c r="C469" s="16"/>
      <c r="D469" s="18"/>
      <c r="E469" s="26"/>
      <c r="F469" s="27"/>
      <c r="G469" s="28" t="str">
        <f t="shared" si="0"/>
        <v/>
      </c>
      <c r="H469" s="28" t="str">
        <f t="array" ref="H469">IF(F469="","",INDEX(Cripto!$A$1:$A$12,G469))</f>
        <v/>
      </c>
    </row>
    <row r="470" spans="2:8">
      <c r="B470" s="12"/>
      <c r="C470" s="16"/>
      <c r="D470" s="18"/>
      <c r="E470" s="19"/>
      <c r="F470" s="21"/>
      <c r="G470" s="22" t="str">
        <f t="shared" si="0"/>
        <v/>
      </c>
      <c r="H470" s="22" t="str">
        <f t="array" ref="H470">IF(F470="","",INDEX(Cripto!$A$1:$A$12,G470))</f>
        <v/>
      </c>
    </row>
    <row r="471" spans="2:8">
      <c r="B471" s="25"/>
      <c r="C471" s="16"/>
      <c r="D471" s="18"/>
      <c r="E471" s="26"/>
      <c r="F471" s="27"/>
      <c r="G471" s="28" t="str">
        <f t="shared" si="0"/>
        <v/>
      </c>
      <c r="H471" s="28" t="str">
        <f t="array" ref="H471">IF(F471="","",INDEX(Cripto!$A$1:$A$12,G471))</f>
        <v/>
      </c>
    </row>
    <row r="472" spans="2:8">
      <c r="B472" s="12"/>
      <c r="C472" s="16"/>
      <c r="D472" s="18"/>
      <c r="E472" s="19"/>
      <c r="F472" s="21"/>
      <c r="G472" s="22" t="str">
        <f t="shared" si="0"/>
        <v/>
      </c>
      <c r="H472" s="22" t="str">
        <f t="array" ref="H472">IF(F472="","",INDEX(Cripto!$A$1:$A$12,G472))</f>
        <v/>
      </c>
    </row>
    <row r="473" spans="2:8">
      <c r="B473" s="25"/>
      <c r="C473" s="16"/>
      <c r="D473" s="18"/>
      <c r="E473" s="26"/>
      <c r="F473" s="27"/>
      <c r="G473" s="28" t="str">
        <f t="shared" si="0"/>
        <v/>
      </c>
      <c r="H473" s="28" t="str">
        <f t="array" ref="H473">IF(F473="","",INDEX(Cripto!$A$1:$A$12,G473))</f>
        <v/>
      </c>
    </row>
    <row r="474" spans="2:8">
      <c r="B474" s="12"/>
      <c r="C474" s="16"/>
      <c r="D474" s="18"/>
      <c r="E474" s="19"/>
      <c r="F474" s="21"/>
      <c r="G474" s="22" t="str">
        <f t="shared" si="0"/>
        <v/>
      </c>
      <c r="H474" s="22" t="str">
        <f t="array" ref="H474">IF(F474="","",INDEX(Cripto!$A$1:$A$12,G474))</f>
        <v/>
      </c>
    </row>
    <row r="475" spans="2:8">
      <c r="B475" s="25"/>
      <c r="C475" s="16"/>
      <c r="D475" s="18"/>
      <c r="E475" s="26"/>
      <c r="F475" s="27"/>
      <c r="G475" s="28" t="str">
        <f t="shared" si="0"/>
        <v/>
      </c>
      <c r="H475" s="28" t="str">
        <f t="array" ref="H475">IF(F475="","",INDEX(Cripto!$A$1:$A$12,G475))</f>
        <v/>
      </c>
    </row>
    <row r="476" spans="2:8">
      <c r="B476" s="12"/>
      <c r="C476" s="16"/>
      <c r="D476" s="18"/>
      <c r="E476" s="19"/>
      <c r="F476" s="21"/>
      <c r="G476" s="22" t="str">
        <f t="shared" si="0"/>
        <v/>
      </c>
      <c r="H476" s="22" t="str">
        <f t="array" ref="H476">IF(F476="","",INDEX(Cripto!$A$1:$A$12,G476))</f>
        <v/>
      </c>
    </row>
    <row r="477" spans="2:8">
      <c r="B477" s="25"/>
      <c r="C477" s="16"/>
      <c r="D477" s="18"/>
      <c r="E477" s="26"/>
      <c r="F477" s="27"/>
      <c r="G477" s="28" t="str">
        <f t="shared" si="0"/>
        <v/>
      </c>
      <c r="H477" s="28" t="str">
        <f t="array" ref="H477">IF(F477="","",INDEX(Cripto!$A$1:$A$12,G477))</f>
        <v/>
      </c>
    </row>
    <row r="478" spans="2:8">
      <c r="B478" s="12"/>
      <c r="C478" s="16"/>
      <c r="D478" s="18"/>
      <c r="E478" s="19"/>
      <c r="F478" s="21"/>
      <c r="G478" s="22" t="str">
        <f t="shared" si="0"/>
        <v/>
      </c>
      <c r="H478" s="22" t="str">
        <f t="array" ref="H478">IF(F478="","",INDEX(Cripto!$A$1:$A$12,G478))</f>
        <v/>
      </c>
    </row>
    <row r="479" spans="2:8">
      <c r="B479" s="25"/>
      <c r="C479" s="16"/>
      <c r="D479" s="18"/>
      <c r="E479" s="26"/>
      <c r="F479" s="27"/>
      <c r="G479" s="28" t="str">
        <f t="shared" si="0"/>
        <v/>
      </c>
      <c r="H479" s="28" t="str">
        <f t="array" ref="H479">IF(F479="","",INDEX(Cripto!$A$1:$A$12,G479))</f>
        <v/>
      </c>
    </row>
    <row r="480" spans="2:8">
      <c r="B480" s="12"/>
      <c r="C480" s="16"/>
      <c r="D480" s="18"/>
      <c r="E480" s="19"/>
      <c r="F480" s="21"/>
      <c r="G480" s="22" t="str">
        <f t="shared" si="0"/>
        <v/>
      </c>
      <c r="H480" s="22" t="str">
        <f t="array" ref="H480">IF(F480="","",INDEX(Cripto!$A$1:$A$12,G480))</f>
        <v/>
      </c>
    </row>
    <row r="481" spans="2:8">
      <c r="B481" s="25"/>
      <c r="C481" s="16"/>
      <c r="D481" s="18"/>
      <c r="E481" s="26"/>
      <c r="F481" s="27"/>
      <c r="G481" s="28" t="str">
        <f t="shared" si="0"/>
        <v/>
      </c>
      <c r="H481" s="28" t="str">
        <f t="array" ref="H481">IF(F481="","",INDEX(Cripto!$A$1:$A$12,G481))</f>
        <v/>
      </c>
    </row>
    <row r="482" spans="2:8">
      <c r="B482" s="12"/>
      <c r="C482" s="16"/>
      <c r="D482" s="18"/>
      <c r="E482" s="19"/>
      <c r="F482" s="21"/>
      <c r="G482" s="22" t="str">
        <f t="shared" si="0"/>
        <v/>
      </c>
      <c r="H482" s="22" t="str">
        <f t="array" ref="H482">IF(F482="","",INDEX(Cripto!$A$1:$A$12,G482))</f>
        <v/>
      </c>
    </row>
    <row r="483" spans="2:8">
      <c r="B483" s="25"/>
      <c r="C483" s="16"/>
      <c r="D483" s="18"/>
      <c r="E483" s="26"/>
      <c r="F483" s="27"/>
      <c r="G483" s="28" t="str">
        <f t="shared" si="0"/>
        <v/>
      </c>
      <c r="H483" s="28" t="str">
        <f t="array" ref="H483">IF(F483="","",INDEX(Cripto!$A$1:$A$12,G483))</f>
        <v/>
      </c>
    </row>
    <row r="484" spans="2:8">
      <c r="B484" s="12"/>
      <c r="C484" s="16"/>
      <c r="D484" s="18"/>
      <c r="E484" s="19"/>
      <c r="F484" s="21"/>
      <c r="G484" s="22" t="str">
        <f t="shared" si="0"/>
        <v/>
      </c>
      <c r="H484" s="22" t="str">
        <f t="array" ref="H484">IF(F484="","",INDEX(Cripto!$A$1:$A$12,G484))</f>
        <v/>
      </c>
    </row>
    <row r="485" spans="2:8">
      <c r="B485" s="25"/>
      <c r="C485" s="16"/>
      <c r="D485" s="18"/>
      <c r="E485" s="26"/>
      <c r="F485" s="27"/>
      <c r="G485" s="28" t="str">
        <f t="shared" si="0"/>
        <v/>
      </c>
      <c r="H485" s="28" t="str">
        <f t="array" ref="H485">IF(F485="","",INDEX(Cripto!$A$1:$A$12,G485))</f>
        <v/>
      </c>
    </row>
    <row r="486" spans="2:8">
      <c r="B486" s="12"/>
      <c r="C486" s="16"/>
      <c r="D486" s="18"/>
      <c r="E486" s="19"/>
      <c r="F486" s="21"/>
      <c r="G486" s="22" t="str">
        <f t="shared" si="0"/>
        <v/>
      </c>
      <c r="H486" s="22" t="str">
        <f t="array" ref="H486">IF(F486="","",INDEX(Cripto!$A$1:$A$12,G486))</f>
        <v/>
      </c>
    </row>
    <row r="487" spans="2:8">
      <c r="B487" s="25"/>
      <c r="C487" s="16"/>
      <c r="D487" s="18"/>
      <c r="E487" s="26"/>
      <c r="F487" s="27"/>
      <c r="G487" s="28" t="str">
        <f t="shared" si="0"/>
        <v/>
      </c>
      <c r="H487" s="28" t="str">
        <f t="array" ref="H487">IF(F487="","",INDEX(Cripto!$A$1:$A$12,G487))</f>
        <v/>
      </c>
    </row>
    <row r="488" spans="2:8">
      <c r="B488" s="12"/>
      <c r="C488" s="16"/>
      <c r="D488" s="18"/>
      <c r="E488" s="19"/>
      <c r="F488" s="21"/>
      <c r="G488" s="22" t="str">
        <f t="shared" si="0"/>
        <v/>
      </c>
      <c r="H488" s="22" t="str">
        <f t="array" ref="H488">IF(F488="","",INDEX(Cripto!$A$1:$A$12,G488))</f>
        <v/>
      </c>
    </row>
    <row r="489" spans="2:8">
      <c r="B489" s="25"/>
      <c r="C489" s="16"/>
      <c r="D489" s="18"/>
      <c r="E489" s="26"/>
      <c r="F489" s="27"/>
      <c r="G489" s="28" t="str">
        <f t="shared" si="0"/>
        <v/>
      </c>
      <c r="H489" s="28" t="str">
        <f t="array" ref="H489">IF(F489="","",INDEX(Cripto!$A$1:$A$12,G489))</f>
        <v/>
      </c>
    </row>
    <row r="490" spans="2:8">
      <c r="B490" s="12"/>
      <c r="C490" s="16"/>
      <c r="D490" s="18"/>
      <c r="E490" s="19"/>
      <c r="F490" s="21"/>
      <c r="G490" s="22" t="str">
        <f t="shared" si="0"/>
        <v/>
      </c>
      <c r="H490" s="22" t="str">
        <f t="array" ref="H490">IF(F490="","",INDEX(Cripto!$A$1:$A$12,G490))</f>
        <v/>
      </c>
    </row>
    <row r="491" spans="2:8">
      <c r="B491" s="25"/>
      <c r="C491" s="16"/>
      <c r="D491" s="18"/>
      <c r="E491" s="26"/>
      <c r="F491" s="27"/>
      <c r="G491" s="28" t="str">
        <f t="shared" si="0"/>
        <v/>
      </c>
      <c r="H491" s="28" t="str">
        <f t="array" ref="H491">IF(F491="","",INDEX(Cripto!$A$1:$A$12,G491))</f>
        <v/>
      </c>
    </row>
    <row r="492" spans="2:8">
      <c r="B492" s="12"/>
      <c r="C492" s="16"/>
      <c r="D492" s="18"/>
      <c r="E492" s="19"/>
      <c r="F492" s="21"/>
      <c r="G492" s="22" t="str">
        <f t="shared" si="0"/>
        <v/>
      </c>
      <c r="H492" s="22" t="str">
        <f t="array" ref="H492">IF(F492="","",INDEX(Cripto!$A$1:$A$12,G492))</f>
        <v/>
      </c>
    </row>
    <row r="493" spans="2:8">
      <c r="B493" s="25"/>
      <c r="C493" s="16"/>
      <c r="D493" s="18"/>
      <c r="E493" s="26"/>
      <c r="F493" s="27"/>
      <c r="G493" s="28" t="str">
        <f t="shared" si="0"/>
        <v/>
      </c>
      <c r="H493" s="28" t="str">
        <f t="array" ref="H493">IF(F493="","",INDEX(Cripto!$A$1:$A$12,G493))</f>
        <v/>
      </c>
    </row>
    <row r="494" spans="2:8">
      <c r="B494" s="12"/>
      <c r="C494" s="16"/>
      <c r="D494" s="18"/>
      <c r="E494" s="19"/>
      <c r="F494" s="21"/>
      <c r="G494" s="22" t="str">
        <f t="shared" si="0"/>
        <v/>
      </c>
      <c r="H494" s="22" t="str">
        <f t="array" ref="H494">IF(F494="","",INDEX(Cripto!$A$1:$A$12,G494))</f>
        <v/>
      </c>
    </row>
    <row r="495" spans="2:8">
      <c r="B495" s="25"/>
      <c r="C495" s="16"/>
      <c r="D495" s="18"/>
      <c r="E495" s="26"/>
      <c r="F495" s="27"/>
      <c r="G495" s="28" t="str">
        <f t="shared" si="0"/>
        <v/>
      </c>
      <c r="H495" s="28" t="str">
        <f t="array" ref="H495">IF(F495="","",INDEX(Cripto!$A$1:$A$12,G495))</f>
        <v/>
      </c>
    </row>
    <row r="496" spans="2:8">
      <c r="B496" s="12"/>
      <c r="C496" s="16"/>
      <c r="D496" s="18"/>
      <c r="E496" s="19"/>
      <c r="F496" s="21"/>
      <c r="G496" s="22" t="str">
        <f t="shared" si="0"/>
        <v/>
      </c>
      <c r="H496" s="22" t="str">
        <f t="array" ref="H496">IF(F496="","",INDEX(Cripto!$A$1:$A$12,G496))</f>
        <v/>
      </c>
    </row>
    <row r="497" spans="2:8">
      <c r="B497" s="25"/>
      <c r="C497" s="16"/>
      <c r="D497" s="18"/>
      <c r="E497" s="26"/>
      <c r="F497" s="27"/>
      <c r="G497" s="28" t="str">
        <f t="shared" si="0"/>
        <v/>
      </c>
      <c r="H497" s="28" t="str">
        <f t="array" ref="H497">IF(F497="","",INDEX(Cripto!$A$1:$A$12,G497))</f>
        <v/>
      </c>
    </row>
    <row r="498" spans="2:8">
      <c r="B498" s="12"/>
      <c r="C498" s="16"/>
      <c r="D498" s="18"/>
      <c r="E498" s="19"/>
      <c r="F498" s="21"/>
      <c r="G498" s="22" t="str">
        <f t="shared" si="0"/>
        <v/>
      </c>
      <c r="H498" s="22" t="str">
        <f t="array" ref="H498">IF(F498="","",INDEX(Cripto!$A$1:$A$12,G498))</f>
        <v/>
      </c>
    </row>
    <row r="499" spans="2:8">
      <c r="B499" s="25"/>
      <c r="C499" s="16"/>
      <c r="D499" s="18"/>
      <c r="E499" s="26"/>
      <c r="F499" s="27"/>
      <c r="G499" s="28" t="str">
        <f t="shared" si="0"/>
        <v/>
      </c>
      <c r="H499" s="28" t="str">
        <f t="array" ref="H499">IF(F499="","",INDEX(Cripto!$A$1:$A$12,G499))</f>
        <v/>
      </c>
    </row>
    <row r="500" spans="2:8">
      <c r="B500" s="12"/>
      <c r="C500" s="16"/>
      <c r="D500" s="18"/>
      <c r="E500" s="19"/>
      <c r="F500" s="21"/>
      <c r="G500" s="22" t="str">
        <f t="shared" si="0"/>
        <v/>
      </c>
      <c r="H500" s="22" t="str">
        <f t="array" ref="H500">IF(F500="","",INDEX(Cripto!$A$1:$A$12,G500))</f>
        <v/>
      </c>
    </row>
    <row r="501" spans="2:8">
      <c r="B501" s="25"/>
      <c r="C501" s="16"/>
      <c r="D501" s="18"/>
      <c r="E501" s="26"/>
      <c r="F501" s="27"/>
      <c r="G501" s="28" t="str">
        <f t="shared" si="0"/>
        <v/>
      </c>
      <c r="H501" s="28" t="str">
        <f t="array" ref="H501">IF(F501="","",INDEX(Cripto!$A$1:$A$12,G501))</f>
        <v/>
      </c>
    </row>
    <row r="502" spans="2:8">
      <c r="B502" s="12"/>
      <c r="C502" s="16"/>
      <c r="D502" s="18"/>
      <c r="E502" s="19"/>
      <c r="F502" s="21"/>
      <c r="G502" s="22" t="str">
        <f t="shared" si="0"/>
        <v/>
      </c>
      <c r="H502" s="22" t="str">
        <f t="array" ref="H502">IF(F502="","",INDEX(Cripto!$A$1:$A$12,G502))</f>
        <v/>
      </c>
    </row>
    <row r="503" spans="2:8">
      <c r="B503" s="25"/>
      <c r="C503" s="16"/>
      <c r="D503" s="18"/>
      <c r="E503" s="26"/>
      <c r="F503" s="27"/>
      <c r="G503" s="28" t="str">
        <f t="shared" si="0"/>
        <v/>
      </c>
      <c r="H503" s="28" t="str">
        <f t="array" ref="H503">IF(F503="","",INDEX(Cripto!$A$1:$A$12,G503))</f>
        <v/>
      </c>
    </row>
    <row r="504" spans="2:8">
      <c r="B504" s="12"/>
      <c r="C504" s="16"/>
      <c r="D504" s="18"/>
      <c r="E504" s="19"/>
      <c r="F504" s="21"/>
      <c r="G504" s="22" t="str">
        <f t="shared" si="0"/>
        <v/>
      </c>
      <c r="H504" s="22" t="str">
        <f t="array" ref="H504">IF(F504="","",INDEX(Cripto!$A$1:$A$12,G504))</f>
        <v/>
      </c>
    </row>
    <row r="505" spans="2:8">
      <c r="B505" s="25"/>
      <c r="C505" s="16"/>
      <c r="D505" s="18"/>
      <c r="E505" s="26"/>
      <c r="F505" s="27"/>
      <c r="G505" s="28" t="str">
        <f t="shared" si="0"/>
        <v/>
      </c>
      <c r="H505" s="28" t="str">
        <f t="array" ref="H505">IF(F505="","",INDEX(Cripto!$A$1:$A$12,G505))</f>
        <v/>
      </c>
    </row>
    <row r="506" spans="2:8">
      <c r="B506" s="12"/>
      <c r="C506" s="16"/>
      <c r="D506" s="18"/>
      <c r="E506" s="19"/>
      <c r="F506" s="21"/>
      <c r="G506" s="22" t="str">
        <f t="shared" si="0"/>
        <v/>
      </c>
      <c r="H506" s="22" t="str">
        <f t="array" ref="H506">IF(F506="","",INDEX(Cripto!$A$1:$A$12,G506))</f>
        <v/>
      </c>
    </row>
    <row r="507" spans="2:8">
      <c r="B507" s="25"/>
      <c r="C507" s="16"/>
      <c r="D507" s="18"/>
      <c r="E507" s="26"/>
      <c r="F507" s="27"/>
      <c r="G507" s="28" t="str">
        <f t="shared" si="0"/>
        <v/>
      </c>
      <c r="H507" s="28" t="str">
        <f t="array" ref="H507">IF(F507="","",INDEX(Cripto!$A$1:$A$12,G507))</f>
        <v/>
      </c>
    </row>
    <row r="508" spans="2:8">
      <c r="B508" s="12"/>
      <c r="C508" s="16"/>
      <c r="D508" s="18"/>
      <c r="E508" s="19"/>
      <c r="F508" s="21"/>
      <c r="G508" s="22" t="str">
        <f t="shared" si="0"/>
        <v/>
      </c>
      <c r="H508" s="22" t="str">
        <f t="array" ref="H508">IF(F508="","",INDEX(Cripto!$A$1:$A$12,G508))</f>
        <v/>
      </c>
    </row>
    <row r="509" spans="2:8">
      <c r="B509" s="25"/>
      <c r="C509" s="16"/>
      <c r="D509" s="18"/>
      <c r="E509" s="26"/>
      <c r="F509" s="27"/>
      <c r="G509" s="28" t="str">
        <f t="shared" si="0"/>
        <v/>
      </c>
      <c r="H509" s="28" t="str">
        <f t="array" ref="H509">IF(F509="","",INDEX(Cripto!$A$1:$A$12,G509))</f>
        <v/>
      </c>
    </row>
    <row r="510" spans="2:8">
      <c r="B510" s="12"/>
      <c r="C510" s="16"/>
      <c r="D510" s="18"/>
      <c r="E510" s="19"/>
      <c r="F510" s="21"/>
      <c r="G510" s="22" t="str">
        <f t="shared" si="0"/>
        <v/>
      </c>
      <c r="H510" s="22" t="str">
        <f t="array" ref="H510">IF(F510="","",INDEX(Cripto!$A$1:$A$12,G510))</f>
        <v/>
      </c>
    </row>
    <row r="511" spans="2:8">
      <c r="B511" s="25"/>
      <c r="C511" s="16"/>
      <c r="D511" s="18"/>
      <c r="E511" s="26"/>
      <c r="F511" s="27"/>
      <c r="G511" s="28" t="str">
        <f t="shared" si="0"/>
        <v/>
      </c>
      <c r="H511" s="28" t="str">
        <f t="array" ref="H511">IF(F511="","",INDEX(Cripto!$A$1:$A$12,G511))</f>
        <v/>
      </c>
    </row>
    <row r="512" spans="2:8">
      <c r="B512" s="12"/>
      <c r="C512" s="16"/>
      <c r="D512" s="18"/>
      <c r="E512" s="19"/>
      <c r="F512" s="21"/>
      <c r="G512" s="22" t="str">
        <f t="shared" si="0"/>
        <v/>
      </c>
      <c r="H512" s="22" t="str">
        <f t="array" ref="H512">IF(F512="","",INDEX(Cripto!$A$1:$A$12,G512))</f>
        <v/>
      </c>
    </row>
    <row r="513" spans="2:8">
      <c r="B513" s="25"/>
      <c r="C513" s="16"/>
      <c r="D513" s="18"/>
      <c r="E513" s="26"/>
      <c r="F513" s="27"/>
      <c r="G513" s="28" t="str">
        <f t="shared" si="0"/>
        <v/>
      </c>
      <c r="H513" s="28" t="str">
        <f t="array" ref="H513">IF(F513="","",INDEX(Cripto!$A$1:$A$12,G513))</f>
        <v/>
      </c>
    </row>
    <row r="514" spans="2:8">
      <c r="B514" s="12"/>
      <c r="C514" s="16"/>
      <c r="D514" s="18"/>
      <c r="E514" s="19"/>
      <c r="F514" s="21"/>
      <c r="G514" s="22" t="str">
        <f t="shared" si="0"/>
        <v/>
      </c>
      <c r="H514" s="22" t="str">
        <f t="array" ref="H514">IF(F514="","",INDEX(Cripto!$A$1:$A$12,G514))</f>
        <v/>
      </c>
    </row>
    <row r="515" spans="2:8">
      <c r="B515" s="25"/>
      <c r="C515" s="16"/>
      <c r="D515" s="18"/>
      <c r="E515" s="26"/>
      <c r="F515" s="27"/>
      <c r="G515" s="28" t="str">
        <f t="shared" si="0"/>
        <v/>
      </c>
      <c r="H515" s="28" t="str">
        <f t="array" ref="H515">IF(F515="","",INDEX(Cripto!$A$1:$A$12,G515))</f>
        <v/>
      </c>
    </row>
    <row r="516" spans="2:8">
      <c r="B516" s="12"/>
      <c r="C516" s="16"/>
      <c r="D516" s="18"/>
      <c r="E516" s="19"/>
      <c r="F516" s="21"/>
      <c r="G516" s="22" t="str">
        <f t="shared" si="0"/>
        <v/>
      </c>
      <c r="H516" s="22" t="str">
        <f t="array" ref="H516">IF(F516="","",INDEX(Cripto!$A$1:$A$12,G516))</f>
        <v/>
      </c>
    </row>
    <row r="517" spans="2:8">
      <c r="B517" s="25"/>
      <c r="C517" s="16"/>
      <c r="D517" s="18"/>
      <c r="E517" s="26"/>
      <c r="F517" s="27"/>
      <c r="G517" s="28" t="str">
        <f t="shared" si="0"/>
        <v/>
      </c>
      <c r="H517" s="28" t="str">
        <f t="array" ref="H517">IF(F517="","",INDEX(Cripto!$A$1:$A$12,G517))</f>
        <v/>
      </c>
    </row>
    <row r="518" spans="2:8">
      <c r="B518" s="12"/>
      <c r="C518" s="16"/>
      <c r="D518" s="18"/>
      <c r="E518" s="19"/>
      <c r="F518" s="21"/>
      <c r="G518" s="22" t="str">
        <f t="shared" si="0"/>
        <v/>
      </c>
      <c r="H518" s="22" t="str">
        <f t="array" ref="H518">IF(F518="","",INDEX(Cripto!$A$1:$A$12,G518))</f>
        <v/>
      </c>
    </row>
    <row r="519" spans="2:8">
      <c r="B519" s="25"/>
      <c r="C519" s="16"/>
      <c r="D519" s="18"/>
      <c r="E519" s="26"/>
      <c r="F519" s="27"/>
      <c r="G519" s="28" t="str">
        <f t="shared" si="0"/>
        <v/>
      </c>
      <c r="H519" s="28" t="str">
        <f t="array" ref="H519">IF(F519="","",INDEX(Cripto!$A$1:$A$12,G519))</f>
        <v/>
      </c>
    </row>
    <row r="520" spans="2:8">
      <c r="B520" s="12"/>
      <c r="C520" s="16"/>
      <c r="D520" s="18"/>
      <c r="E520" s="19"/>
      <c r="F520" s="21"/>
      <c r="G520" s="22" t="str">
        <f t="shared" si="0"/>
        <v/>
      </c>
      <c r="H520" s="22" t="str">
        <f t="array" ref="H520">IF(F520="","",INDEX(Cripto!$A$1:$A$12,G520))</f>
        <v/>
      </c>
    </row>
    <row r="521" spans="2:8">
      <c r="B521" s="25"/>
      <c r="C521" s="16"/>
      <c r="D521" s="18"/>
      <c r="E521" s="26"/>
      <c r="F521" s="27"/>
      <c r="G521" s="28" t="str">
        <f t="shared" si="0"/>
        <v/>
      </c>
      <c r="H521" s="28" t="str">
        <f t="array" ref="H521">IF(F521="","",INDEX(Cripto!$A$1:$A$12,G521))</f>
        <v/>
      </c>
    </row>
    <row r="522" spans="2:8">
      <c r="B522" s="12"/>
      <c r="C522" s="16"/>
      <c r="D522" s="18"/>
      <c r="E522" s="19"/>
      <c r="F522" s="21"/>
      <c r="G522" s="22" t="str">
        <f t="shared" si="0"/>
        <v/>
      </c>
      <c r="H522" s="22" t="str">
        <f t="array" ref="H522">IF(F522="","",INDEX(Cripto!$A$1:$A$12,G522))</f>
        <v/>
      </c>
    </row>
    <row r="523" spans="2:8">
      <c r="B523" s="25"/>
      <c r="C523" s="16"/>
      <c r="D523" s="18"/>
      <c r="E523" s="26"/>
      <c r="F523" s="27"/>
      <c r="G523" s="28" t="str">
        <f t="shared" si="0"/>
        <v/>
      </c>
      <c r="H523" s="28" t="str">
        <f t="array" ref="H523">IF(F523="","",INDEX(Cripto!$A$1:$A$12,G523))</f>
        <v/>
      </c>
    </row>
    <row r="524" spans="2:8">
      <c r="B524" s="12"/>
      <c r="C524" s="16"/>
      <c r="D524" s="18"/>
      <c r="E524" s="19"/>
      <c r="F524" s="21"/>
      <c r="G524" s="22" t="str">
        <f t="shared" si="0"/>
        <v/>
      </c>
      <c r="H524" s="22" t="str">
        <f t="array" ref="H524">IF(F524="","",INDEX(Cripto!$A$1:$A$12,G524))</f>
        <v/>
      </c>
    </row>
    <row r="525" spans="2:8">
      <c r="B525" s="25"/>
      <c r="C525" s="16"/>
      <c r="D525" s="18"/>
      <c r="E525" s="26"/>
      <c r="F525" s="27"/>
      <c r="G525" s="28" t="str">
        <f t="shared" si="0"/>
        <v/>
      </c>
      <c r="H525" s="28" t="str">
        <f t="array" ref="H525">IF(F525="","",INDEX(Cripto!$A$1:$A$12,G525))</f>
        <v/>
      </c>
    </row>
    <row r="526" spans="2:8">
      <c r="B526" s="12"/>
      <c r="C526" s="16"/>
      <c r="D526" s="18"/>
      <c r="E526" s="19"/>
      <c r="F526" s="21"/>
      <c r="G526" s="22" t="str">
        <f t="shared" si="0"/>
        <v/>
      </c>
      <c r="H526" s="22" t="str">
        <f t="array" ref="H526">IF(F526="","",INDEX(Cripto!$A$1:$A$12,G526))</f>
        <v/>
      </c>
    </row>
    <row r="527" spans="2:8">
      <c r="B527" s="25"/>
      <c r="C527" s="16"/>
      <c r="D527" s="18"/>
      <c r="E527" s="26"/>
      <c r="F527" s="27"/>
      <c r="G527" s="28" t="str">
        <f t="shared" si="0"/>
        <v/>
      </c>
      <c r="H527" s="28" t="str">
        <f t="array" ref="H527">IF(F527="","",INDEX(Cripto!$A$1:$A$12,G527))</f>
        <v/>
      </c>
    </row>
    <row r="528" spans="2:8">
      <c r="B528" s="12"/>
      <c r="C528" s="16"/>
      <c r="D528" s="18"/>
      <c r="E528" s="19"/>
      <c r="F528" s="21"/>
      <c r="G528" s="22" t="str">
        <f t="shared" si="0"/>
        <v/>
      </c>
      <c r="H528" s="22" t="str">
        <f t="array" ref="H528">IF(F528="","",INDEX(Cripto!$A$1:$A$12,G528))</f>
        <v/>
      </c>
    </row>
    <row r="529" spans="2:8">
      <c r="B529" s="25"/>
      <c r="C529" s="16"/>
      <c r="D529" s="18"/>
      <c r="E529" s="26"/>
      <c r="F529" s="27"/>
      <c r="G529" s="28" t="str">
        <f t="shared" si="0"/>
        <v/>
      </c>
      <c r="H529" s="28" t="str">
        <f t="array" ref="H529">IF(F529="","",INDEX(Cripto!$A$1:$A$12,G529))</f>
        <v/>
      </c>
    </row>
    <row r="530" spans="2:8">
      <c r="B530" s="12"/>
      <c r="C530" s="16"/>
      <c r="D530" s="18"/>
      <c r="E530" s="19"/>
      <c r="F530" s="21"/>
      <c r="G530" s="22" t="str">
        <f t="shared" si="0"/>
        <v/>
      </c>
      <c r="H530" s="22" t="str">
        <f t="array" ref="H530">IF(F530="","",INDEX(Cripto!$A$1:$A$12,G530))</f>
        <v/>
      </c>
    </row>
    <row r="531" spans="2:8">
      <c r="B531" s="25"/>
      <c r="C531" s="16"/>
      <c r="D531" s="18"/>
      <c r="E531" s="26"/>
      <c r="F531" s="27"/>
      <c r="G531" s="28" t="str">
        <f t="shared" si="0"/>
        <v/>
      </c>
      <c r="H531" s="28" t="str">
        <f t="array" ref="H531">IF(F531="","",INDEX(Cripto!$A$1:$A$12,G531))</f>
        <v/>
      </c>
    </row>
    <row r="532" spans="2:8">
      <c r="B532" s="12"/>
      <c r="C532" s="16"/>
      <c r="D532" s="18"/>
      <c r="E532" s="19"/>
      <c r="F532" s="21"/>
      <c r="G532" s="22" t="str">
        <f t="shared" si="0"/>
        <v/>
      </c>
      <c r="H532" s="22" t="str">
        <f t="array" ref="H532">IF(F532="","",INDEX(Cripto!$A$1:$A$12,G532))</f>
        <v/>
      </c>
    </row>
    <row r="533" spans="2:8">
      <c r="B533" s="25"/>
      <c r="C533" s="16"/>
      <c r="D533" s="18"/>
      <c r="E533" s="26"/>
      <c r="F533" s="27"/>
      <c r="G533" s="28" t="str">
        <f t="shared" si="0"/>
        <v/>
      </c>
      <c r="H533" s="28" t="str">
        <f t="array" ref="H533">IF(F533="","",INDEX(Cripto!$A$1:$A$12,G533))</f>
        <v/>
      </c>
    </row>
    <row r="534" spans="2:8">
      <c r="B534" s="12"/>
      <c r="C534" s="16"/>
      <c r="D534" s="18"/>
      <c r="E534" s="19"/>
      <c r="F534" s="21"/>
      <c r="G534" s="22" t="str">
        <f t="shared" si="0"/>
        <v/>
      </c>
      <c r="H534" s="22" t="str">
        <f t="array" ref="H534">IF(F534="","",INDEX(Cripto!$A$1:$A$12,G534))</f>
        <v/>
      </c>
    </row>
    <row r="535" spans="2:8">
      <c r="B535" s="25"/>
      <c r="C535" s="16"/>
      <c r="D535" s="18"/>
      <c r="E535" s="26"/>
      <c r="F535" s="27"/>
      <c r="G535" s="28" t="str">
        <f t="shared" si="0"/>
        <v/>
      </c>
      <c r="H535" s="28" t="str">
        <f t="array" ref="H535">IF(F535="","",INDEX(Cripto!$A$1:$A$12,G535))</f>
        <v/>
      </c>
    </row>
    <row r="536" spans="2:8">
      <c r="B536" s="12"/>
      <c r="C536" s="16"/>
      <c r="D536" s="18"/>
      <c r="E536" s="19"/>
      <c r="F536" s="21"/>
      <c r="G536" s="22" t="str">
        <f t="shared" si="0"/>
        <v/>
      </c>
      <c r="H536" s="22" t="str">
        <f t="array" ref="H536">IF(F536="","",INDEX(Cripto!$A$1:$A$12,G536))</f>
        <v/>
      </c>
    </row>
    <row r="537" spans="2:8">
      <c r="B537" s="25"/>
      <c r="C537" s="16"/>
      <c r="D537" s="18"/>
      <c r="E537" s="26"/>
      <c r="F537" s="27"/>
      <c r="G537" s="28" t="str">
        <f t="shared" si="0"/>
        <v/>
      </c>
      <c r="H537" s="28" t="str">
        <f t="array" ref="H537">IF(F537="","",INDEX(Cripto!$A$1:$A$12,G537))</f>
        <v/>
      </c>
    </row>
    <row r="538" spans="2:8">
      <c r="B538" s="12"/>
      <c r="C538" s="16"/>
      <c r="D538" s="18"/>
      <c r="E538" s="19"/>
      <c r="F538" s="21"/>
      <c r="G538" s="22" t="str">
        <f t="shared" si="0"/>
        <v/>
      </c>
      <c r="H538" s="22" t="str">
        <f t="array" ref="H538">IF(F538="","",INDEX(Cripto!$A$1:$A$12,G538))</f>
        <v/>
      </c>
    </row>
    <row r="539" spans="2:8">
      <c r="B539" s="25"/>
      <c r="C539" s="16"/>
      <c r="D539" s="18"/>
      <c r="E539" s="26"/>
      <c r="F539" s="27"/>
      <c r="G539" s="28" t="str">
        <f t="shared" si="0"/>
        <v/>
      </c>
      <c r="H539" s="28" t="str">
        <f t="array" ref="H539">IF(F539="","",INDEX(Cripto!$A$1:$A$12,G539))</f>
        <v/>
      </c>
    </row>
    <row r="540" spans="2:8">
      <c r="B540" s="12"/>
      <c r="C540" s="16"/>
      <c r="D540" s="18"/>
      <c r="E540" s="19"/>
      <c r="F540" s="21"/>
      <c r="G540" s="22" t="str">
        <f t="shared" si="0"/>
        <v/>
      </c>
      <c r="H540" s="22" t="str">
        <f t="array" ref="H540">IF(F540="","",INDEX(Cripto!$A$1:$A$12,G540))</f>
        <v/>
      </c>
    </row>
    <row r="541" spans="2:8">
      <c r="B541" s="25"/>
      <c r="C541" s="16"/>
      <c r="D541" s="18"/>
      <c r="E541" s="26"/>
      <c r="F541" s="27"/>
      <c r="G541" s="28" t="str">
        <f t="shared" si="0"/>
        <v/>
      </c>
      <c r="H541" s="28" t="str">
        <f t="array" ref="H541">IF(F541="","",INDEX(Cripto!$A$1:$A$12,G541))</f>
        <v/>
      </c>
    </row>
    <row r="542" spans="2:8">
      <c r="B542" s="12"/>
      <c r="C542" s="16"/>
      <c r="D542" s="18"/>
      <c r="E542" s="19"/>
      <c r="F542" s="21"/>
      <c r="G542" s="22" t="str">
        <f t="shared" si="0"/>
        <v/>
      </c>
      <c r="H542" s="22" t="str">
        <f t="array" ref="H542">IF(F542="","",INDEX(Cripto!$A$1:$A$12,G542))</f>
        <v/>
      </c>
    </row>
    <row r="543" spans="2:8">
      <c r="B543" s="25"/>
      <c r="C543" s="16"/>
      <c r="D543" s="18"/>
      <c r="E543" s="26"/>
      <c r="F543" s="27"/>
      <c r="G543" s="28" t="str">
        <f t="shared" si="0"/>
        <v/>
      </c>
      <c r="H543" s="28" t="str">
        <f t="array" ref="H543">IF(F543="","",INDEX(Cripto!$A$1:$A$12,G543))</f>
        <v/>
      </c>
    </row>
    <row r="544" spans="2:8">
      <c r="B544" s="12"/>
      <c r="C544" s="16"/>
      <c r="D544" s="18"/>
      <c r="E544" s="19"/>
      <c r="F544" s="21"/>
      <c r="G544" s="22" t="str">
        <f t="shared" si="0"/>
        <v/>
      </c>
      <c r="H544" s="22" t="str">
        <f t="array" ref="H544">IF(F544="","",INDEX(Cripto!$A$1:$A$12,G544))</f>
        <v/>
      </c>
    </row>
    <row r="545" spans="2:8">
      <c r="B545" s="25"/>
      <c r="C545" s="16"/>
      <c r="D545" s="18"/>
      <c r="E545" s="26"/>
      <c r="F545" s="27"/>
      <c r="G545" s="28" t="str">
        <f t="shared" si="0"/>
        <v/>
      </c>
      <c r="H545" s="28" t="str">
        <f t="array" ref="H545">IF(F545="","",INDEX(Cripto!$A$1:$A$12,G545))</f>
        <v/>
      </c>
    </row>
    <row r="546" spans="2:8">
      <c r="B546" s="12"/>
      <c r="C546" s="16"/>
      <c r="D546" s="18"/>
      <c r="E546" s="19"/>
      <c r="F546" s="21"/>
      <c r="G546" s="22" t="str">
        <f t="shared" si="0"/>
        <v/>
      </c>
      <c r="H546" s="22" t="str">
        <f t="array" ref="H546">IF(F546="","",INDEX(Cripto!$A$1:$A$12,G546))</f>
        <v/>
      </c>
    </row>
    <row r="547" spans="2:8">
      <c r="B547" s="25"/>
      <c r="C547" s="16"/>
      <c r="D547" s="18"/>
      <c r="E547" s="26"/>
      <c r="F547" s="27"/>
      <c r="G547" s="28" t="str">
        <f t="shared" si="0"/>
        <v/>
      </c>
      <c r="H547" s="28" t="str">
        <f t="array" ref="H547">IF(F547="","",INDEX(Cripto!$A$1:$A$12,G547))</f>
        <v/>
      </c>
    </row>
    <row r="548" spans="2:8">
      <c r="B548" s="12"/>
      <c r="C548" s="16"/>
      <c r="D548" s="18"/>
      <c r="E548" s="19"/>
      <c r="F548" s="21"/>
      <c r="G548" s="22" t="str">
        <f t="shared" si="0"/>
        <v/>
      </c>
      <c r="H548" s="22" t="str">
        <f t="array" ref="H548">IF(F548="","",INDEX(Cripto!$A$1:$A$12,G548))</f>
        <v/>
      </c>
    </row>
    <row r="549" spans="2:8">
      <c r="B549" s="25"/>
      <c r="C549" s="16"/>
      <c r="D549" s="18"/>
      <c r="E549" s="26"/>
      <c r="F549" s="27"/>
      <c r="G549" s="28" t="str">
        <f t="shared" si="0"/>
        <v/>
      </c>
      <c r="H549" s="28" t="str">
        <f t="array" ref="H549">IF(F549="","",INDEX(Cripto!$A$1:$A$12,G549))</f>
        <v/>
      </c>
    </row>
    <row r="550" spans="2:8">
      <c r="B550" s="12"/>
      <c r="C550" s="16"/>
      <c r="D550" s="18"/>
      <c r="E550" s="19"/>
      <c r="F550" s="21"/>
      <c r="G550" s="22" t="str">
        <f t="shared" si="0"/>
        <v/>
      </c>
      <c r="H550" s="22" t="str">
        <f t="array" ref="H550">IF(F550="","",INDEX(Cripto!$A$1:$A$12,G550))</f>
        <v/>
      </c>
    </row>
    <row r="551" spans="2:8">
      <c r="B551" s="25"/>
      <c r="C551" s="16"/>
      <c r="D551" s="18"/>
      <c r="E551" s="26"/>
      <c r="F551" s="27"/>
      <c r="G551" s="28" t="str">
        <f t="shared" si="0"/>
        <v/>
      </c>
      <c r="H551" s="28" t="str">
        <f t="array" ref="H551">IF(F551="","",INDEX(Cripto!$A$1:$A$12,G551))</f>
        <v/>
      </c>
    </row>
    <row r="552" spans="2:8">
      <c r="B552" s="12"/>
      <c r="C552" s="16"/>
      <c r="D552" s="18"/>
      <c r="E552" s="19"/>
      <c r="F552" s="21"/>
      <c r="G552" s="22" t="str">
        <f t="shared" si="0"/>
        <v/>
      </c>
      <c r="H552" s="22" t="str">
        <f t="array" ref="H552">IF(F552="","",INDEX(Cripto!$A$1:$A$12,G552))</f>
        <v/>
      </c>
    </row>
    <row r="553" spans="2:8">
      <c r="B553" s="25"/>
      <c r="C553" s="16"/>
      <c r="D553" s="18"/>
      <c r="E553" s="26"/>
      <c r="F553" s="27"/>
      <c r="G553" s="28" t="str">
        <f t="shared" si="0"/>
        <v/>
      </c>
      <c r="H553" s="28" t="str">
        <f t="array" ref="H553">IF(F553="","",INDEX(Cripto!$A$1:$A$12,G553))</f>
        <v/>
      </c>
    </row>
    <row r="554" spans="2:8">
      <c r="B554" s="12"/>
      <c r="C554" s="16"/>
      <c r="D554" s="18"/>
      <c r="E554" s="19"/>
      <c r="F554" s="21"/>
      <c r="G554" s="22" t="str">
        <f t="shared" si="0"/>
        <v/>
      </c>
      <c r="H554" s="22" t="str">
        <f t="array" ref="H554">IF(F554="","",INDEX(Cripto!$A$1:$A$12,G554))</f>
        <v/>
      </c>
    </row>
    <row r="555" spans="2:8">
      <c r="B555" s="25"/>
      <c r="C555" s="16"/>
      <c r="D555" s="18"/>
      <c r="E555" s="26"/>
      <c r="F555" s="27"/>
      <c r="G555" s="28" t="str">
        <f t="shared" si="0"/>
        <v/>
      </c>
      <c r="H555" s="28" t="str">
        <f t="array" ref="H555">IF(F555="","",INDEX(Cripto!$A$1:$A$12,G555))</f>
        <v/>
      </c>
    </row>
    <row r="556" spans="2:8">
      <c r="B556" s="12"/>
      <c r="C556" s="16"/>
      <c r="D556" s="18"/>
      <c r="E556" s="19"/>
      <c r="F556" s="21"/>
      <c r="G556" s="22" t="str">
        <f t="shared" si="0"/>
        <v/>
      </c>
      <c r="H556" s="22" t="str">
        <f t="array" ref="H556">IF(F556="","",INDEX(Cripto!$A$1:$A$12,G556))</f>
        <v/>
      </c>
    </row>
    <row r="557" spans="2:8">
      <c r="B557" s="25"/>
      <c r="C557" s="16"/>
      <c r="D557" s="18"/>
      <c r="E557" s="26"/>
      <c r="F557" s="27"/>
      <c r="G557" s="28" t="str">
        <f t="shared" si="0"/>
        <v/>
      </c>
      <c r="H557" s="28" t="str">
        <f t="array" ref="H557">IF(F557="","",INDEX(Cripto!$A$1:$A$12,G557))</f>
        <v/>
      </c>
    </row>
    <row r="558" spans="2:8">
      <c r="B558" s="12"/>
      <c r="C558" s="16"/>
      <c r="D558" s="18"/>
      <c r="E558" s="19"/>
      <c r="F558" s="21"/>
      <c r="G558" s="22" t="str">
        <f t="shared" si="0"/>
        <v/>
      </c>
      <c r="H558" s="22" t="str">
        <f t="array" ref="H558">IF(F558="","",INDEX(Cripto!$A$1:$A$12,G558))</f>
        <v/>
      </c>
    </row>
    <row r="559" spans="2:8">
      <c r="B559" s="25"/>
      <c r="C559" s="16"/>
      <c r="D559" s="18"/>
      <c r="E559" s="26"/>
      <c r="F559" s="27"/>
      <c r="G559" s="28" t="str">
        <f t="shared" si="0"/>
        <v/>
      </c>
      <c r="H559" s="28" t="str">
        <f t="array" ref="H559">IF(F559="","",INDEX(Cripto!$A$1:$A$12,G559))</f>
        <v/>
      </c>
    </row>
    <row r="560" spans="2:8">
      <c r="B560" s="12"/>
      <c r="C560" s="16"/>
      <c r="D560" s="18"/>
      <c r="E560" s="19"/>
      <c r="F560" s="21"/>
      <c r="G560" s="22" t="str">
        <f t="shared" si="0"/>
        <v/>
      </c>
      <c r="H560" s="22" t="str">
        <f t="array" ref="H560">IF(F560="","",INDEX(Cripto!$A$1:$A$12,G560))</f>
        <v/>
      </c>
    </row>
    <row r="561" spans="2:8">
      <c r="B561" s="25"/>
      <c r="C561" s="16"/>
      <c r="D561" s="18"/>
      <c r="E561" s="26"/>
      <c r="F561" s="27"/>
      <c r="G561" s="28" t="str">
        <f t="shared" si="0"/>
        <v/>
      </c>
      <c r="H561" s="28" t="str">
        <f t="array" ref="H561">IF(F561="","",INDEX(Cripto!$A$1:$A$12,G561))</f>
        <v/>
      </c>
    </row>
    <row r="562" spans="2:8">
      <c r="B562" s="12"/>
      <c r="C562" s="16"/>
      <c r="D562" s="18"/>
      <c r="E562" s="19"/>
      <c r="F562" s="21"/>
      <c r="G562" s="22" t="str">
        <f t="shared" si="0"/>
        <v/>
      </c>
      <c r="H562" s="22" t="str">
        <f t="array" ref="H562">IF(F562="","",INDEX(Cripto!$A$1:$A$12,G562))</f>
        <v/>
      </c>
    </row>
    <row r="563" spans="2:8">
      <c r="B563" s="25"/>
      <c r="C563" s="16"/>
      <c r="D563" s="18"/>
      <c r="E563" s="26"/>
      <c r="F563" s="27"/>
      <c r="G563" s="28" t="str">
        <f t="shared" si="0"/>
        <v/>
      </c>
      <c r="H563" s="28" t="str">
        <f t="array" ref="H563">IF(F563="","",INDEX(Cripto!$A$1:$A$12,G563))</f>
        <v/>
      </c>
    </row>
    <row r="564" spans="2:8">
      <c r="B564" s="12"/>
      <c r="C564" s="16"/>
      <c r="D564" s="18"/>
      <c r="E564" s="19"/>
      <c r="F564" s="21"/>
      <c r="G564" s="22" t="str">
        <f t="shared" si="0"/>
        <v/>
      </c>
      <c r="H564" s="22" t="str">
        <f t="array" ref="H564">IF(F564="","",INDEX(Cripto!$A$1:$A$12,G564))</f>
        <v/>
      </c>
    </row>
    <row r="565" spans="2:8">
      <c r="B565" s="25"/>
      <c r="C565" s="16"/>
      <c r="D565" s="18"/>
      <c r="E565" s="26"/>
      <c r="F565" s="27"/>
      <c r="G565" s="28" t="str">
        <f t="shared" si="0"/>
        <v/>
      </c>
      <c r="H565" s="28" t="str">
        <f t="array" ref="H565">IF(F565="","",INDEX(Cripto!$A$1:$A$12,G565))</f>
        <v/>
      </c>
    </row>
    <row r="566" spans="2:8">
      <c r="B566" s="12"/>
      <c r="C566" s="16"/>
      <c r="D566" s="18"/>
      <c r="E566" s="19"/>
      <c r="F566" s="21"/>
      <c r="G566" s="22" t="str">
        <f t="shared" si="0"/>
        <v/>
      </c>
      <c r="H566" s="22" t="str">
        <f t="array" ref="H566">IF(F566="","",INDEX(Cripto!$A$1:$A$12,G566))</f>
        <v/>
      </c>
    </row>
    <row r="567" spans="2:8">
      <c r="B567" s="25"/>
      <c r="C567" s="16"/>
      <c r="D567" s="18"/>
      <c r="E567" s="26"/>
      <c r="F567" s="27"/>
      <c r="G567" s="28" t="str">
        <f t="shared" si="0"/>
        <v/>
      </c>
      <c r="H567" s="28" t="str">
        <f t="array" ref="H567">IF(F567="","",INDEX(Cripto!$A$1:$A$12,G567))</f>
        <v/>
      </c>
    </row>
    <row r="568" spans="2:8">
      <c r="B568" s="12"/>
      <c r="C568" s="16"/>
      <c r="D568" s="18"/>
      <c r="E568" s="19"/>
      <c r="F568" s="21"/>
      <c r="G568" s="22" t="str">
        <f t="shared" si="0"/>
        <v/>
      </c>
      <c r="H568" s="22" t="str">
        <f t="array" ref="H568">IF(F568="","",INDEX(Cripto!$A$1:$A$12,G568))</f>
        <v/>
      </c>
    </row>
    <row r="569" spans="2:8">
      <c r="B569" s="25"/>
      <c r="C569" s="16"/>
      <c r="D569" s="18"/>
      <c r="E569" s="26"/>
      <c r="F569" s="27"/>
      <c r="G569" s="28" t="str">
        <f t="shared" si="0"/>
        <v/>
      </c>
      <c r="H569" s="28" t="str">
        <f t="array" ref="H569">IF(F569="","",INDEX(Cripto!$A$1:$A$12,G569))</f>
        <v/>
      </c>
    </row>
    <row r="570" spans="2:8">
      <c r="B570" s="12"/>
      <c r="C570" s="16"/>
      <c r="D570" s="18"/>
      <c r="E570" s="19"/>
      <c r="F570" s="21"/>
      <c r="G570" s="22" t="str">
        <f t="shared" si="0"/>
        <v/>
      </c>
      <c r="H570" s="22" t="str">
        <f t="array" ref="H570">IF(F570="","",INDEX(Cripto!$A$1:$A$12,G570))</f>
        <v/>
      </c>
    </row>
    <row r="571" spans="2:8">
      <c r="B571" s="25"/>
      <c r="C571" s="16"/>
      <c r="D571" s="18"/>
      <c r="E571" s="26"/>
      <c r="F571" s="27"/>
      <c r="G571" s="28" t="str">
        <f t="shared" si="0"/>
        <v/>
      </c>
      <c r="H571" s="28" t="str">
        <f t="array" ref="H571">IF(F571="","",INDEX(Cripto!$A$1:$A$12,G571))</f>
        <v/>
      </c>
    </row>
    <row r="572" spans="2:8">
      <c r="B572" s="12"/>
      <c r="C572" s="16"/>
      <c r="D572" s="18"/>
      <c r="E572" s="19"/>
      <c r="F572" s="21"/>
      <c r="G572" s="22" t="str">
        <f t="shared" si="0"/>
        <v/>
      </c>
      <c r="H572" s="22" t="str">
        <f t="array" ref="H572">IF(F572="","",INDEX(Cripto!$A$1:$A$12,G572))</f>
        <v/>
      </c>
    </row>
    <row r="573" spans="2:8">
      <c r="B573" s="25"/>
      <c r="C573" s="16"/>
      <c r="D573" s="18"/>
      <c r="E573" s="26"/>
      <c r="F573" s="27"/>
      <c r="G573" s="28" t="str">
        <f t="shared" si="0"/>
        <v/>
      </c>
      <c r="H573" s="28" t="str">
        <f t="array" ref="H573">IF(F573="","",INDEX(Cripto!$A$1:$A$12,G573))</f>
        <v/>
      </c>
    </row>
    <row r="574" spans="2:8">
      <c r="B574" s="12"/>
      <c r="C574" s="16"/>
      <c r="D574" s="18"/>
      <c r="E574" s="19"/>
      <c r="F574" s="21"/>
      <c r="G574" s="22" t="str">
        <f t="shared" si="0"/>
        <v/>
      </c>
      <c r="H574" s="22" t="str">
        <f t="array" ref="H574">IF(F574="","",INDEX(Cripto!$A$1:$A$12,G574))</f>
        <v/>
      </c>
    </row>
    <row r="575" spans="2:8">
      <c r="B575" s="25"/>
      <c r="C575" s="16"/>
      <c r="D575" s="18"/>
      <c r="E575" s="26"/>
      <c r="F575" s="27"/>
      <c r="G575" s="28" t="str">
        <f t="shared" si="0"/>
        <v/>
      </c>
      <c r="H575" s="28" t="str">
        <f t="array" ref="H575">IF(F575="","",INDEX(Cripto!$A$1:$A$12,G575))</f>
        <v/>
      </c>
    </row>
    <row r="576" spans="2:8">
      <c r="B576" s="12"/>
      <c r="C576" s="16"/>
      <c r="D576" s="18"/>
      <c r="E576" s="19"/>
      <c r="F576" s="21"/>
      <c r="G576" s="22" t="str">
        <f t="shared" si="0"/>
        <v/>
      </c>
      <c r="H576" s="22" t="str">
        <f t="array" ref="H576">IF(F576="","",INDEX(Cripto!$A$1:$A$12,G576))</f>
        <v/>
      </c>
    </row>
    <row r="577" spans="2:8">
      <c r="B577" s="25"/>
      <c r="C577" s="16"/>
      <c r="D577" s="18"/>
      <c r="E577" s="26"/>
      <c r="F577" s="27"/>
      <c r="G577" s="28" t="str">
        <f t="shared" si="0"/>
        <v/>
      </c>
      <c r="H577" s="28" t="str">
        <f t="array" ref="H577">IF(F577="","",INDEX(Cripto!$A$1:$A$12,G577))</f>
        <v/>
      </c>
    </row>
    <row r="578" spans="2:8">
      <c r="B578" s="12"/>
      <c r="C578" s="16"/>
      <c r="D578" s="18"/>
      <c r="E578" s="19"/>
      <c r="F578" s="21"/>
      <c r="G578" s="22" t="str">
        <f t="shared" si="0"/>
        <v/>
      </c>
      <c r="H578" s="22" t="str">
        <f t="array" ref="H578">IF(F578="","",INDEX(Cripto!$A$1:$A$12,G578))</f>
        <v/>
      </c>
    </row>
    <row r="579" spans="2:8">
      <c r="B579" s="25"/>
      <c r="C579" s="16"/>
      <c r="D579" s="18"/>
      <c r="E579" s="26"/>
      <c r="F579" s="27"/>
      <c r="G579" s="28" t="str">
        <f t="shared" si="0"/>
        <v/>
      </c>
      <c r="H579" s="28" t="str">
        <f t="array" ref="H579">IF(F579="","",INDEX(Cripto!$A$1:$A$12,G579))</f>
        <v/>
      </c>
    </row>
    <row r="580" spans="2:8">
      <c r="B580" s="12"/>
      <c r="C580" s="16"/>
      <c r="D580" s="18"/>
      <c r="E580" s="19"/>
      <c r="F580" s="21"/>
      <c r="G580" s="22" t="str">
        <f t="shared" si="0"/>
        <v/>
      </c>
      <c r="H580" s="22" t="str">
        <f t="array" ref="H580">IF(F580="","",INDEX(Cripto!$A$1:$A$12,G580))</f>
        <v/>
      </c>
    </row>
    <row r="581" spans="2:8">
      <c r="B581" s="25"/>
      <c r="C581" s="16"/>
      <c r="D581" s="18"/>
      <c r="E581" s="26"/>
      <c r="F581" s="27"/>
      <c r="G581" s="28" t="str">
        <f t="shared" si="0"/>
        <v/>
      </c>
      <c r="H581" s="28" t="str">
        <f t="array" ref="H581">IF(F581="","",INDEX(Cripto!$A$1:$A$12,G581))</f>
        <v/>
      </c>
    </row>
    <row r="582" spans="2:8">
      <c r="B582" s="12"/>
      <c r="C582" s="16"/>
      <c r="D582" s="18"/>
      <c r="E582" s="19"/>
      <c r="F582" s="21"/>
      <c r="G582" s="22" t="str">
        <f t="shared" si="0"/>
        <v/>
      </c>
      <c r="H582" s="22" t="str">
        <f t="array" ref="H582">IF(F582="","",INDEX(Cripto!$A$1:$A$12,G582))</f>
        <v/>
      </c>
    </row>
    <row r="583" spans="2:8">
      <c r="B583" s="25"/>
      <c r="C583" s="16"/>
      <c r="D583" s="18"/>
      <c r="E583" s="26"/>
      <c r="F583" s="27"/>
      <c r="G583" s="28" t="str">
        <f t="shared" si="0"/>
        <v/>
      </c>
      <c r="H583" s="28" t="str">
        <f t="array" ref="H583">IF(F583="","",INDEX(Cripto!$A$1:$A$12,G583))</f>
        <v/>
      </c>
    </row>
    <row r="584" spans="2:8">
      <c r="B584" s="12"/>
      <c r="C584" s="16"/>
      <c r="D584" s="18"/>
      <c r="E584" s="19"/>
      <c r="F584" s="21"/>
      <c r="G584" s="22" t="str">
        <f t="shared" si="0"/>
        <v/>
      </c>
      <c r="H584" s="22" t="str">
        <f t="array" ref="H584">IF(F584="","",INDEX(Cripto!$A$1:$A$12,G584))</f>
        <v/>
      </c>
    </row>
    <row r="585" spans="2:8">
      <c r="B585" s="25"/>
      <c r="C585" s="16"/>
      <c r="D585" s="18"/>
      <c r="E585" s="26"/>
      <c r="F585" s="27"/>
      <c r="G585" s="28" t="str">
        <f t="shared" si="0"/>
        <v/>
      </c>
      <c r="H585" s="28" t="str">
        <f t="array" ref="H585">IF(F585="","",INDEX(Cripto!$A$1:$A$12,G585))</f>
        <v/>
      </c>
    </row>
    <row r="586" spans="2:8">
      <c r="B586" s="12"/>
      <c r="C586" s="16"/>
      <c r="D586" s="18"/>
      <c r="E586" s="19"/>
      <c r="F586" s="21"/>
      <c r="G586" s="22" t="str">
        <f t="shared" si="0"/>
        <v/>
      </c>
      <c r="H586" s="22" t="str">
        <f t="array" ref="H586">IF(F586="","",INDEX(Cripto!$A$1:$A$12,G586))</f>
        <v/>
      </c>
    </row>
    <row r="587" spans="2:8">
      <c r="B587" s="25"/>
      <c r="C587" s="16"/>
      <c r="D587" s="18"/>
      <c r="E587" s="26"/>
      <c r="F587" s="27"/>
      <c r="G587" s="28" t="str">
        <f t="shared" si="0"/>
        <v/>
      </c>
      <c r="H587" s="28" t="str">
        <f t="array" ref="H587">IF(F587="","",INDEX(Cripto!$A$1:$A$12,G587))</f>
        <v/>
      </c>
    </row>
    <row r="588" spans="2:8">
      <c r="B588" s="12"/>
      <c r="C588" s="16"/>
      <c r="D588" s="18"/>
      <c r="E588" s="19"/>
      <c r="F588" s="21"/>
      <c r="G588" s="22" t="str">
        <f t="shared" si="0"/>
        <v/>
      </c>
      <c r="H588" s="22" t="str">
        <f t="array" ref="H588">IF(F588="","",INDEX(Cripto!$A$1:$A$12,G588))</f>
        <v/>
      </c>
    </row>
    <row r="589" spans="2:8">
      <c r="B589" s="25"/>
      <c r="C589" s="16"/>
      <c r="D589" s="18"/>
      <c r="E589" s="26"/>
      <c r="F589" s="27"/>
      <c r="G589" s="28" t="str">
        <f t="shared" si="0"/>
        <v/>
      </c>
      <c r="H589" s="28" t="str">
        <f t="array" ref="H589">IF(F589="","",INDEX(Cripto!$A$1:$A$12,G589))</f>
        <v/>
      </c>
    </row>
    <row r="590" spans="2:8">
      <c r="B590" s="12"/>
      <c r="C590" s="16"/>
      <c r="D590" s="18"/>
      <c r="E590" s="19"/>
      <c r="F590" s="21"/>
      <c r="G590" s="22" t="str">
        <f t="shared" si="0"/>
        <v/>
      </c>
      <c r="H590" s="22" t="str">
        <f t="array" ref="H590">IF(F590="","",INDEX(Cripto!$A$1:$A$12,G590))</f>
        <v/>
      </c>
    </row>
    <row r="591" spans="2:8">
      <c r="B591" s="25"/>
      <c r="C591" s="16"/>
      <c r="D591" s="18"/>
      <c r="E591" s="26"/>
      <c r="F591" s="27"/>
      <c r="G591" s="28" t="str">
        <f t="shared" si="0"/>
        <v/>
      </c>
      <c r="H591" s="28" t="str">
        <f t="array" ref="H591">IF(F591="","",INDEX(Cripto!$A$1:$A$12,G591))</f>
        <v/>
      </c>
    </row>
    <row r="592" spans="2:8">
      <c r="B592" s="12"/>
      <c r="C592" s="16"/>
      <c r="D592" s="18"/>
      <c r="E592" s="19"/>
      <c r="F592" s="21"/>
      <c r="G592" s="22" t="str">
        <f t="shared" si="0"/>
        <v/>
      </c>
      <c r="H592" s="22" t="str">
        <f t="array" ref="H592">IF(F592="","",INDEX(Cripto!$A$1:$A$12,G592))</f>
        <v/>
      </c>
    </row>
    <row r="593" spans="2:8">
      <c r="B593" s="25"/>
      <c r="C593" s="16"/>
      <c r="D593" s="18"/>
      <c r="E593" s="26"/>
      <c r="F593" s="27"/>
      <c r="G593" s="28" t="str">
        <f t="shared" si="0"/>
        <v/>
      </c>
      <c r="H593" s="28" t="str">
        <f t="array" ref="H593">IF(F593="","",INDEX(Cripto!$A$1:$A$12,G593))</f>
        <v/>
      </c>
    </row>
    <row r="594" spans="2:8">
      <c r="B594" s="12"/>
      <c r="C594" s="16"/>
      <c r="D594" s="18"/>
      <c r="E594" s="19"/>
      <c r="F594" s="21"/>
      <c r="G594" s="22" t="str">
        <f t="shared" si="0"/>
        <v/>
      </c>
      <c r="H594" s="22" t="str">
        <f t="array" ref="H594">IF(F594="","",INDEX(Cripto!$A$1:$A$12,G594))</f>
        <v/>
      </c>
    </row>
    <row r="595" spans="2:8">
      <c r="B595" s="25"/>
      <c r="C595" s="16"/>
      <c r="D595" s="18"/>
      <c r="E595" s="26"/>
      <c r="F595" s="27"/>
      <c r="G595" s="28" t="str">
        <f t="shared" si="0"/>
        <v/>
      </c>
      <c r="H595" s="28" t="str">
        <f t="array" ref="H595">IF(F595="","",INDEX(Cripto!$A$1:$A$12,G595))</f>
        <v/>
      </c>
    </row>
    <row r="596" spans="2:8">
      <c r="B596" s="12"/>
      <c r="C596" s="16"/>
      <c r="D596" s="18"/>
      <c r="E596" s="19"/>
      <c r="F596" s="21"/>
      <c r="G596" s="22" t="str">
        <f t="shared" si="0"/>
        <v/>
      </c>
      <c r="H596" s="22" t="str">
        <f t="array" ref="H596">IF(F596="","",INDEX(Cripto!$A$1:$A$12,G596))</f>
        <v/>
      </c>
    </row>
    <row r="597" spans="2:8">
      <c r="B597" s="25"/>
      <c r="C597" s="16"/>
      <c r="D597" s="18"/>
      <c r="E597" s="26"/>
      <c r="F597" s="27"/>
      <c r="G597" s="28" t="str">
        <f t="shared" si="0"/>
        <v/>
      </c>
      <c r="H597" s="28" t="str">
        <f t="array" ref="H597">IF(F597="","",INDEX(Cripto!$A$1:$A$12,G597))</f>
        <v/>
      </c>
    </row>
    <row r="598" spans="2:8">
      <c r="B598" s="12"/>
      <c r="C598" s="16"/>
      <c r="D598" s="18"/>
      <c r="E598" s="19"/>
      <c r="F598" s="21"/>
      <c r="G598" s="22" t="str">
        <f t="shared" si="0"/>
        <v/>
      </c>
      <c r="H598" s="22" t="str">
        <f t="array" ref="H598">IF(F598="","",INDEX(Cripto!$A$1:$A$12,G598))</f>
        <v/>
      </c>
    </row>
    <row r="599" spans="2:8">
      <c r="B599" s="25"/>
      <c r="C599" s="16"/>
      <c r="D599" s="18"/>
      <c r="E599" s="26"/>
      <c r="F599" s="27"/>
      <c r="G599" s="28" t="str">
        <f t="shared" si="0"/>
        <v/>
      </c>
      <c r="H599" s="28" t="str">
        <f t="array" ref="H599">IF(F599="","",INDEX(Cripto!$A$1:$A$12,G599))</f>
        <v/>
      </c>
    </row>
    <row r="600" spans="2:8">
      <c r="B600" s="12"/>
      <c r="C600" s="16"/>
      <c r="D600" s="18"/>
      <c r="E600" s="19"/>
      <c r="F600" s="21"/>
      <c r="G600" s="22" t="str">
        <f t="shared" si="0"/>
        <v/>
      </c>
      <c r="H600" s="22" t="str">
        <f t="array" ref="H600">IF(F600="","",INDEX(Cripto!$A$1:$A$12,G600))</f>
        <v/>
      </c>
    </row>
    <row r="601" spans="2:8">
      <c r="B601" s="25"/>
      <c r="C601" s="16"/>
      <c r="D601" s="18"/>
      <c r="E601" s="26"/>
      <c r="F601" s="27"/>
      <c r="G601" s="28" t="str">
        <f t="shared" si="0"/>
        <v/>
      </c>
      <c r="H601" s="28" t="str">
        <f t="array" ref="H601">IF(F601="","",INDEX(Cripto!$A$1:$A$12,G601))</f>
        <v/>
      </c>
    </row>
    <row r="602" spans="2:8">
      <c r="B602" s="12"/>
      <c r="C602" s="16"/>
      <c r="D602" s="18"/>
      <c r="E602" s="19"/>
      <c r="F602" s="21"/>
      <c r="G602" s="22" t="str">
        <f t="shared" si="0"/>
        <v/>
      </c>
      <c r="H602" s="22" t="str">
        <f t="array" ref="H602">IF(F602="","",INDEX(Cripto!$A$1:$A$12,G602))</f>
        <v/>
      </c>
    </row>
    <row r="603" spans="2:8">
      <c r="B603" s="25"/>
      <c r="C603" s="16"/>
      <c r="D603" s="18"/>
      <c r="E603" s="26"/>
      <c r="F603" s="27"/>
      <c r="G603" s="28" t="str">
        <f t="shared" si="0"/>
        <v/>
      </c>
      <c r="H603" s="28" t="str">
        <f t="array" ref="H603">IF(F603="","",INDEX(Cripto!$A$1:$A$12,G603))</f>
        <v/>
      </c>
    </row>
    <row r="604" spans="2:8">
      <c r="B604" s="12"/>
      <c r="C604" s="16"/>
      <c r="D604" s="18"/>
      <c r="E604" s="19"/>
      <c r="F604" s="21"/>
      <c r="G604" s="22" t="str">
        <f t="shared" si="0"/>
        <v/>
      </c>
      <c r="H604" s="22" t="str">
        <f t="array" ref="H604">IF(F604="","",INDEX(Cripto!$A$1:$A$12,G604))</f>
        <v/>
      </c>
    </row>
    <row r="605" spans="2:8">
      <c r="B605" s="25"/>
      <c r="C605" s="16"/>
      <c r="D605" s="18"/>
      <c r="E605" s="26"/>
      <c r="F605" s="27"/>
      <c r="G605" s="28" t="str">
        <f t="shared" si="0"/>
        <v/>
      </c>
      <c r="H605" s="28" t="str">
        <f t="array" ref="H605">IF(F605="","",INDEX(Cripto!$A$1:$A$12,G605))</f>
        <v/>
      </c>
    </row>
    <row r="606" spans="2:8">
      <c r="B606" s="12"/>
      <c r="C606" s="16"/>
      <c r="D606" s="18"/>
      <c r="E606" s="19"/>
      <c r="F606" s="21"/>
      <c r="G606" s="22" t="str">
        <f t="shared" si="0"/>
        <v/>
      </c>
      <c r="H606" s="22" t="str">
        <f t="array" ref="H606">IF(F606="","",INDEX(Cripto!$A$1:$A$12,G606))</f>
        <v/>
      </c>
    </row>
    <row r="607" spans="2:8">
      <c r="B607" s="25"/>
      <c r="C607" s="16"/>
      <c r="D607" s="18"/>
      <c r="E607" s="26"/>
      <c r="F607" s="27"/>
      <c r="G607" s="28" t="str">
        <f t="shared" si="0"/>
        <v/>
      </c>
      <c r="H607" s="28" t="str">
        <f t="array" ref="H607">IF(F607="","",INDEX(Cripto!$A$1:$A$12,G607))</f>
        <v/>
      </c>
    </row>
    <row r="608" spans="2:8">
      <c r="B608" s="12"/>
      <c r="C608" s="16"/>
      <c r="D608" s="18"/>
      <c r="E608" s="19"/>
      <c r="F608" s="21"/>
      <c r="G608" s="22" t="str">
        <f t="shared" si="0"/>
        <v/>
      </c>
      <c r="H608" s="22" t="str">
        <f t="array" ref="H608">IF(F608="","",INDEX(Cripto!$A$1:$A$12,G608))</f>
        <v/>
      </c>
    </row>
    <row r="609" spans="2:8">
      <c r="B609" s="25"/>
      <c r="C609" s="16"/>
      <c r="D609" s="18"/>
      <c r="E609" s="26"/>
      <c r="F609" s="27"/>
      <c r="G609" s="28" t="str">
        <f t="shared" si="0"/>
        <v/>
      </c>
      <c r="H609" s="28" t="str">
        <f t="array" ref="H609">IF(F609="","",INDEX(Cripto!$A$1:$A$12,G609))</f>
        <v/>
      </c>
    </row>
    <row r="610" spans="2:8">
      <c r="B610" s="12"/>
      <c r="C610" s="16"/>
      <c r="D610" s="18"/>
      <c r="E610" s="19"/>
      <c r="F610" s="21"/>
      <c r="G610" s="22" t="str">
        <f t="shared" si="0"/>
        <v/>
      </c>
      <c r="H610" s="22" t="str">
        <f t="array" ref="H610">IF(F610="","",INDEX(Cripto!$A$1:$A$12,G610))</f>
        <v/>
      </c>
    </row>
    <row r="611" spans="2:8">
      <c r="B611" s="25"/>
      <c r="C611" s="16"/>
      <c r="D611" s="18"/>
      <c r="E611" s="26"/>
      <c r="F611" s="27"/>
      <c r="G611" s="28" t="str">
        <f t="shared" si="0"/>
        <v/>
      </c>
      <c r="H611" s="28" t="str">
        <f t="array" ref="H611">IF(F611="","",INDEX(Cripto!$A$1:$A$12,G611))</f>
        <v/>
      </c>
    </row>
    <row r="612" spans="2:8">
      <c r="B612" s="12"/>
      <c r="C612" s="16"/>
      <c r="D612" s="18"/>
      <c r="E612" s="19"/>
      <c r="F612" s="21"/>
      <c r="G612" s="22" t="str">
        <f t="shared" si="0"/>
        <v/>
      </c>
      <c r="H612" s="22" t="str">
        <f t="array" ref="H612">IF(F612="","",INDEX(Cripto!$A$1:$A$12,G612))</f>
        <v/>
      </c>
    </row>
    <row r="613" spans="2:8">
      <c r="B613" s="25"/>
      <c r="C613" s="16"/>
      <c r="D613" s="18"/>
      <c r="E613" s="26"/>
      <c r="F613" s="27"/>
      <c r="G613" s="28" t="str">
        <f t="shared" si="0"/>
        <v/>
      </c>
      <c r="H613" s="28" t="str">
        <f t="array" ref="H613">IF(F613="","",INDEX(Cripto!$A$1:$A$12,G613))</f>
        <v/>
      </c>
    </row>
    <row r="614" spans="2:8">
      <c r="B614" s="12"/>
      <c r="C614" s="16"/>
      <c r="D614" s="18"/>
      <c r="E614" s="19"/>
      <c r="F614" s="21"/>
      <c r="G614" s="22" t="str">
        <f t="shared" si="0"/>
        <v/>
      </c>
      <c r="H614" s="22" t="str">
        <f t="array" ref="H614">IF(F614="","",INDEX(Cripto!$A$1:$A$12,G614))</f>
        <v/>
      </c>
    </row>
    <row r="615" spans="2:8">
      <c r="B615" s="25"/>
      <c r="C615" s="16"/>
      <c r="D615" s="18"/>
      <c r="E615" s="26"/>
      <c r="F615" s="27"/>
      <c r="G615" s="28" t="str">
        <f t="shared" si="0"/>
        <v/>
      </c>
      <c r="H615" s="28" t="str">
        <f t="array" ref="H615">IF(F615="","",INDEX(Cripto!$A$1:$A$12,G615))</f>
        <v/>
      </c>
    </row>
    <row r="616" spans="2:8">
      <c r="B616" s="12"/>
      <c r="C616" s="16"/>
      <c r="D616" s="18"/>
      <c r="E616" s="19"/>
      <c r="F616" s="21"/>
      <c r="G616" s="22" t="str">
        <f t="shared" si="0"/>
        <v/>
      </c>
      <c r="H616" s="22" t="str">
        <f t="array" ref="H616">IF(F616="","",INDEX(Cripto!$A$1:$A$12,G616))</f>
        <v/>
      </c>
    </row>
    <row r="617" spans="2:8">
      <c r="B617" s="25"/>
      <c r="C617" s="16"/>
      <c r="D617" s="18"/>
      <c r="E617" s="26"/>
      <c r="F617" s="27"/>
      <c r="G617" s="28" t="str">
        <f t="shared" si="0"/>
        <v/>
      </c>
      <c r="H617" s="28" t="str">
        <f t="array" ref="H617">IF(F617="","",INDEX(Cripto!$A$1:$A$12,G617))</f>
        <v/>
      </c>
    </row>
    <row r="618" spans="2:8">
      <c r="B618" s="12"/>
      <c r="C618" s="16"/>
      <c r="D618" s="18"/>
      <c r="E618" s="19"/>
      <c r="F618" s="21"/>
      <c r="G618" s="22" t="str">
        <f t="shared" si="0"/>
        <v/>
      </c>
      <c r="H618" s="22" t="str">
        <f t="array" ref="H618">IF(F618="","",INDEX(Cripto!$A$1:$A$12,G618))</f>
        <v/>
      </c>
    </row>
    <row r="619" spans="2:8">
      <c r="B619" s="25"/>
      <c r="C619" s="16"/>
      <c r="D619" s="18"/>
      <c r="E619" s="26"/>
      <c r="F619" s="27"/>
      <c r="G619" s="28" t="str">
        <f t="shared" si="0"/>
        <v/>
      </c>
      <c r="H619" s="28" t="str">
        <f t="array" ref="H619">IF(F619="","",INDEX(Cripto!$A$1:$A$12,G619))</f>
        <v/>
      </c>
    </row>
    <row r="620" spans="2:8">
      <c r="B620" s="12"/>
      <c r="C620" s="16"/>
      <c r="D620" s="18"/>
      <c r="E620" s="19"/>
      <c r="F620" s="21"/>
      <c r="G620" s="22" t="str">
        <f t="shared" si="0"/>
        <v/>
      </c>
      <c r="H620" s="22" t="str">
        <f t="array" ref="H620">IF(F620="","",INDEX(Cripto!$A$1:$A$12,G620))</f>
        <v/>
      </c>
    </row>
    <row r="621" spans="2:8">
      <c r="B621" s="25"/>
      <c r="C621" s="16"/>
      <c r="D621" s="18"/>
      <c r="E621" s="26"/>
      <c r="F621" s="27"/>
      <c r="G621" s="28" t="str">
        <f t="shared" si="0"/>
        <v/>
      </c>
      <c r="H621" s="28" t="str">
        <f t="array" ref="H621">IF(F621="","",INDEX(Cripto!$A$1:$A$12,G621))</f>
        <v/>
      </c>
    </row>
    <row r="622" spans="2:8">
      <c r="B622" s="12"/>
      <c r="C622" s="16"/>
      <c r="D622" s="18"/>
      <c r="E622" s="19"/>
      <c r="F622" s="21"/>
      <c r="G622" s="22" t="str">
        <f t="shared" si="0"/>
        <v/>
      </c>
      <c r="H622" s="22" t="str">
        <f t="array" ref="H622">IF(F622="","",INDEX(Cripto!$A$1:$A$12,G622))</f>
        <v/>
      </c>
    </row>
    <row r="623" spans="2:8">
      <c r="B623" s="25"/>
      <c r="C623" s="16"/>
      <c r="D623" s="18"/>
      <c r="E623" s="26"/>
      <c r="F623" s="27"/>
      <c r="G623" s="28" t="str">
        <f t="shared" si="0"/>
        <v/>
      </c>
      <c r="H623" s="28" t="str">
        <f t="array" ref="H623">IF(F623="","",INDEX(Cripto!$A$1:$A$12,G623))</f>
        <v/>
      </c>
    </row>
    <row r="624" spans="2:8">
      <c r="B624" s="12"/>
      <c r="C624" s="16"/>
      <c r="D624" s="18"/>
      <c r="E624" s="19"/>
      <c r="F624" s="21"/>
      <c r="G624" s="22" t="str">
        <f t="shared" si="0"/>
        <v/>
      </c>
      <c r="H624" s="22" t="str">
        <f t="array" ref="H624">IF(F624="","",INDEX(Cripto!$A$1:$A$12,G624))</f>
        <v/>
      </c>
    </row>
    <row r="625" spans="2:8">
      <c r="B625" s="25"/>
      <c r="C625" s="16"/>
      <c r="D625" s="18"/>
      <c r="E625" s="26"/>
      <c r="F625" s="27"/>
      <c r="G625" s="28" t="str">
        <f t="shared" si="0"/>
        <v/>
      </c>
      <c r="H625" s="28" t="str">
        <f t="array" ref="H625">IF(F625="","",INDEX(Cripto!$A$1:$A$12,G625))</f>
        <v/>
      </c>
    </row>
    <row r="626" spans="2:8">
      <c r="B626" s="12"/>
      <c r="C626" s="16"/>
      <c r="D626" s="18"/>
      <c r="E626" s="19"/>
      <c r="F626" s="21"/>
      <c r="G626" s="22" t="str">
        <f t="shared" si="0"/>
        <v/>
      </c>
      <c r="H626" s="22" t="str">
        <f t="array" ref="H626">IF(F626="","",INDEX(Cripto!$A$1:$A$12,G626))</f>
        <v/>
      </c>
    </row>
    <row r="627" spans="2:8">
      <c r="B627" s="25"/>
      <c r="C627" s="16"/>
      <c r="D627" s="18"/>
      <c r="E627" s="26"/>
      <c r="F627" s="27"/>
      <c r="G627" s="28" t="str">
        <f t="shared" si="0"/>
        <v/>
      </c>
      <c r="H627" s="28" t="str">
        <f t="array" ref="H627">IF(F627="","",INDEX(Cripto!$A$1:$A$12,G627))</f>
        <v/>
      </c>
    </row>
    <row r="628" spans="2:8">
      <c r="B628" s="12"/>
      <c r="C628" s="16"/>
      <c r="D628" s="18"/>
      <c r="E628" s="19"/>
      <c r="F628" s="21"/>
      <c r="G628" s="22" t="str">
        <f t="shared" si="0"/>
        <v/>
      </c>
      <c r="H628" s="22" t="str">
        <f t="array" ref="H628">IF(F628="","",INDEX(Cripto!$A$1:$A$12,G628))</f>
        <v/>
      </c>
    </row>
    <row r="629" spans="2:8">
      <c r="B629" s="25"/>
      <c r="C629" s="16"/>
      <c r="D629" s="18"/>
      <c r="E629" s="26"/>
      <c r="F629" s="27"/>
      <c r="G629" s="28" t="str">
        <f t="shared" si="0"/>
        <v/>
      </c>
      <c r="H629" s="28" t="str">
        <f t="array" ref="H629">IF(F629="","",INDEX(Cripto!$A$1:$A$12,G629))</f>
        <v/>
      </c>
    </row>
    <row r="630" spans="2:8">
      <c r="B630" s="12"/>
      <c r="C630" s="16"/>
      <c r="D630" s="18"/>
      <c r="E630" s="19"/>
      <c r="F630" s="21"/>
      <c r="G630" s="22" t="str">
        <f t="shared" si="0"/>
        <v/>
      </c>
      <c r="H630" s="22" t="str">
        <f t="array" ref="H630">IF(F630="","",INDEX(Cripto!$A$1:$A$12,G630))</f>
        <v/>
      </c>
    </row>
    <row r="631" spans="2:8">
      <c r="B631" s="25"/>
      <c r="C631" s="16"/>
      <c r="D631" s="18"/>
      <c r="E631" s="26"/>
      <c r="F631" s="27"/>
      <c r="G631" s="28" t="str">
        <f t="shared" si="0"/>
        <v/>
      </c>
      <c r="H631" s="28" t="str">
        <f t="array" ref="H631">IF(F631="","",INDEX(Cripto!$A$1:$A$12,G631))</f>
        <v/>
      </c>
    </row>
    <row r="632" spans="2:8">
      <c r="B632" s="12"/>
      <c r="C632" s="16"/>
      <c r="D632" s="18"/>
      <c r="E632" s="19"/>
      <c r="F632" s="21"/>
      <c r="G632" s="22" t="str">
        <f t="shared" si="0"/>
        <v/>
      </c>
      <c r="H632" s="22" t="str">
        <f t="array" ref="H632">IF(F632="","",INDEX(Cripto!$A$1:$A$12,G632))</f>
        <v/>
      </c>
    </row>
    <row r="633" spans="2:8">
      <c r="B633" s="25"/>
      <c r="C633" s="16"/>
      <c r="D633" s="18"/>
      <c r="E633" s="26"/>
      <c r="F633" s="27"/>
      <c r="G633" s="28" t="str">
        <f t="shared" si="0"/>
        <v/>
      </c>
      <c r="H633" s="28" t="str">
        <f t="array" ref="H633">IF(F633="","",INDEX(Cripto!$A$1:$A$12,G633))</f>
        <v/>
      </c>
    </row>
    <row r="634" spans="2:8">
      <c r="B634" s="12"/>
      <c r="C634" s="16"/>
      <c r="D634" s="18"/>
      <c r="E634" s="19"/>
      <c r="F634" s="21"/>
      <c r="G634" s="22" t="str">
        <f t="shared" si="0"/>
        <v/>
      </c>
      <c r="H634" s="22" t="str">
        <f t="array" ref="H634">IF(F634="","",INDEX(Cripto!$A$1:$A$12,G634))</f>
        <v/>
      </c>
    </row>
    <row r="635" spans="2:8">
      <c r="B635" s="25"/>
      <c r="C635" s="16"/>
      <c r="D635" s="18"/>
      <c r="E635" s="26"/>
      <c r="F635" s="27"/>
      <c r="G635" s="28" t="str">
        <f t="shared" si="0"/>
        <v/>
      </c>
      <c r="H635" s="28" t="str">
        <f t="array" ref="H635">IF(F635="","",INDEX(Cripto!$A$1:$A$12,G635))</f>
        <v/>
      </c>
    </row>
    <row r="636" spans="2:8">
      <c r="B636" s="12"/>
      <c r="C636" s="16"/>
      <c r="D636" s="18"/>
      <c r="E636" s="19"/>
      <c r="F636" s="21"/>
      <c r="G636" s="22" t="str">
        <f t="shared" si="0"/>
        <v/>
      </c>
      <c r="H636" s="22" t="str">
        <f t="array" ref="H636">IF(F636="","",INDEX(Cripto!$A$1:$A$12,G636))</f>
        <v/>
      </c>
    </row>
    <row r="637" spans="2:8">
      <c r="B637" s="25"/>
      <c r="C637" s="16"/>
      <c r="D637" s="18"/>
      <c r="E637" s="26"/>
      <c r="F637" s="27"/>
      <c r="G637" s="28" t="str">
        <f t="shared" si="0"/>
        <v/>
      </c>
      <c r="H637" s="28" t="str">
        <f t="array" ref="H637">IF(F637="","",INDEX(Cripto!$A$1:$A$12,G637))</f>
        <v/>
      </c>
    </row>
    <row r="638" spans="2:8">
      <c r="B638" s="12"/>
      <c r="C638" s="16"/>
      <c r="D638" s="18"/>
      <c r="E638" s="19"/>
      <c r="F638" s="21"/>
      <c r="G638" s="22" t="str">
        <f t="shared" si="0"/>
        <v/>
      </c>
      <c r="H638" s="22" t="str">
        <f t="array" ref="H638">IF(F638="","",INDEX(Cripto!$A$1:$A$12,G638))</f>
        <v/>
      </c>
    </row>
    <row r="639" spans="2:8">
      <c r="B639" s="25"/>
      <c r="C639" s="16"/>
      <c r="D639" s="18"/>
      <c r="E639" s="26"/>
      <c r="F639" s="27"/>
      <c r="G639" s="28" t="str">
        <f t="shared" si="0"/>
        <v/>
      </c>
      <c r="H639" s="28" t="str">
        <f t="array" ref="H639">IF(F639="","",INDEX(Cripto!$A$1:$A$12,G639))</f>
        <v/>
      </c>
    </row>
    <row r="640" spans="2:8">
      <c r="B640" s="12"/>
      <c r="C640" s="16"/>
      <c r="D640" s="18"/>
      <c r="E640" s="19"/>
      <c r="F640" s="21"/>
      <c r="G640" s="22" t="str">
        <f t="shared" si="0"/>
        <v/>
      </c>
      <c r="H640" s="22" t="str">
        <f t="array" ref="H640">IF(F640="","",INDEX(Cripto!$A$1:$A$12,G640))</f>
        <v/>
      </c>
    </row>
    <row r="641" spans="2:8">
      <c r="B641" s="25"/>
      <c r="C641" s="16"/>
      <c r="D641" s="18"/>
      <c r="E641" s="26"/>
      <c r="F641" s="27"/>
      <c r="G641" s="28" t="str">
        <f t="shared" si="0"/>
        <v/>
      </c>
      <c r="H641" s="28" t="str">
        <f t="array" ref="H641">IF(F641="","",INDEX(Cripto!$A$1:$A$12,G641))</f>
        <v/>
      </c>
    </row>
    <row r="642" spans="2:8">
      <c r="B642" s="12"/>
      <c r="C642" s="16"/>
      <c r="D642" s="18"/>
      <c r="E642" s="19"/>
      <c r="F642" s="21"/>
      <c r="G642" s="22" t="str">
        <f t="shared" si="0"/>
        <v/>
      </c>
      <c r="H642" s="22" t="str">
        <f t="array" ref="H642">IF(F642="","",INDEX(Cripto!$A$1:$A$12,G642))</f>
        <v/>
      </c>
    </row>
    <row r="643" spans="2:8">
      <c r="B643" s="25"/>
      <c r="C643" s="16"/>
      <c r="D643" s="18"/>
      <c r="E643" s="26"/>
      <c r="F643" s="27"/>
      <c r="G643" s="28" t="str">
        <f t="shared" si="0"/>
        <v/>
      </c>
      <c r="H643" s="28" t="str">
        <f t="array" ref="H643">IF(F643="","",INDEX(Cripto!$A$1:$A$12,G643))</f>
        <v/>
      </c>
    </row>
    <row r="644" spans="2:8">
      <c r="B644" s="12"/>
      <c r="C644" s="16"/>
      <c r="D644" s="18"/>
      <c r="E644" s="19"/>
      <c r="F644" s="21"/>
      <c r="G644" s="22" t="str">
        <f t="shared" si="0"/>
        <v/>
      </c>
      <c r="H644" s="22" t="str">
        <f t="array" ref="H644">IF(F644="","",INDEX(Cripto!$A$1:$A$12,G644))</f>
        <v/>
      </c>
    </row>
    <row r="645" spans="2:8">
      <c r="B645" s="25"/>
      <c r="C645" s="16"/>
      <c r="D645" s="18"/>
      <c r="E645" s="26"/>
      <c r="F645" s="27"/>
      <c r="G645" s="28" t="str">
        <f t="shared" si="0"/>
        <v/>
      </c>
      <c r="H645" s="28" t="str">
        <f t="array" ref="H645">IF(F645="","",INDEX(Cripto!$A$1:$A$12,G645))</f>
        <v/>
      </c>
    </row>
    <row r="646" spans="2:8">
      <c r="B646" s="12"/>
      <c r="C646" s="16"/>
      <c r="D646" s="18"/>
      <c r="E646" s="19"/>
      <c r="F646" s="21"/>
      <c r="G646" s="22" t="str">
        <f t="shared" si="0"/>
        <v/>
      </c>
      <c r="H646" s="22" t="str">
        <f t="array" ref="H646">IF(F646="","",INDEX(Cripto!$A$1:$A$12,G646))</f>
        <v/>
      </c>
    </row>
    <row r="647" spans="2:8">
      <c r="B647" s="25"/>
      <c r="C647" s="16"/>
      <c r="D647" s="18"/>
      <c r="E647" s="26"/>
      <c r="F647" s="27"/>
      <c r="G647" s="28" t="str">
        <f t="shared" si="0"/>
        <v/>
      </c>
      <c r="H647" s="28" t="str">
        <f t="array" ref="H647">IF(F647="","",INDEX(Cripto!$A$1:$A$12,G647))</f>
        <v/>
      </c>
    </row>
    <row r="648" spans="2:8">
      <c r="B648" s="12"/>
      <c r="C648" s="16"/>
      <c r="D648" s="18"/>
      <c r="E648" s="19"/>
      <c r="F648" s="21"/>
      <c r="G648" s="22" t="str">
        <f t="shared" si="0"/>
        <v/>
      </c>
      <c r="H648" s="22" t="str">
        <f t="array" ref="H648">IF(F648="","",INDEX(Cripto!$A$1:$A$12,G648))</f>
        <v/>
      </c>
    </row>
    <row r="649" spans="2:8">
      <c r="B649" s="25"/>
      <c r="C649" s="16"/>
      <c r="D649" s="18"/>
      <c r="E649" s="26"/>
      <c r="F649" s="27"/>
      <c r="G649" s="28" t="str">
        <f t="shared" si="0"/>
        <v/>
      </c>
      <c r="H649" s="28" t="str">
        <f t="array" ref="H649">IF(F649="","",INDEX(Cripto!$A$1:$A$12,G649))</f>
        <v/>
      </c>
    </row>
    <row r="650" spans="2:8">
      <c r="B650" s="12"/>
      <c r="C650" s="16"/>
      <c r="D650" s="18"/>
      <c r="E650" s="19"/>
      <c r="F650" s="21"/>
      <c r="G650" s="22" t="str">
        <f t="shared" si="0"/>
        <v/>
      </c>
      <c r="H650" s="22" t="str">
        <f t="array" ref="H650">IF(F650="","",INDEX(Cripto!$A$1:$A$12,G650))</f>
        <v/>
      </c>
    </row>
    <row r="651" spans="2:8">
      <c r="B651" s="25"/>
      <c r="C651" s="16"/>
      <c r="D651" s="18"/>
      <c r="E651" s="26"/>
      <c r="F651" s="27"/>
      <c r="G651" s="28" t="str">
        <f t="shared" si="0"/>
        <v/>
      </c>
      <c r="H651" s="28" t="str">
        <f t="array" ref="H651">IF(F651="","",INDEX(Cripto!$A$1:$A$12,G651))</f>
        <v/>
      </c>
    </row>
    <row r="652" spans="2:8">
      <c r="B652" s="12"/>
      <c r="C652" s="16"/>
      <c r="D652" s="18"/>
      <c r="E652" s="19"/>
      <c r="F652" s="21"/>
      <c r="G652" s="22" t="str">
        <f t="shared" si="0"/>
        <v/>
      </c>
      <c r="H652" s="22" t="str">
        <f t="array" ref="H652">IF(F652="","",INDEX(Cripto!$A$1:$A$12,G652))</f>
        <v/>
      </c>
    </row>
    <row r="653" spans="2:8">
      <c r="B653" s="25"/>
      <c r="C653" s="16"/>
      <c r="D653" s="18"/>
      <c r="E653" s="26"/>
      <c r="F653" s="27"/>
      <c r="G653" s="28" t="str">
        <f t="shared" si="0"/>
        <v/>
      </c>
      <c r="H653" s="28" t="str">
        <f t="array" ref="H653">IF(F653="","",INDEX(Cripto!$A$1:$A$12,G653))</f>
        <v/>
      </c>
    </row>
    <row r="654" spans="2:8">
      <c r="B654" s="12"/>
      <c r="C654" s="16"/>
      <c r="D654" s="18"/>
      <c r="E654" s="19"/>
      <c r="F654" s="21"/>
      <c r="G654" s="22" t="str">
        <f t="shared" si="0"/>
        <v/>
      </c>
      <c r="H654" s="22" t="str">
        <f t="array" ref="H654">IF(F654="","",INDEX(Cripto!$A$1:$A$12,G654))</f>
        <v/>
      </c>
    </row>
    <row r="655" spans="2:8">
      <c r="B655" s="25"/>
      <c r="C655" s="16"/>
      <c r="D655" s="18"/>
      <c r="E655" s="26"/>
      <c r="F655" s="27"/>
      <c r="G655" s="28" t="str">
        <f t="shared" si="0"/>
        <v/>
      </c>
      <c r="H655" s="28" t="str">
        <f t="array" ref="H655">IF(F655="","",INDEX(Cripto!$A$1:$A$12,G655))</f>
        <v/>
      </c>
    </row>
    <row r="656" spans="2:8">
      <c r="B656" s="12"/>
      <c r="C656" s="16"/>
      <c r="D656" s="18"/>
      <c r="E656" s="19"/>
      <c r="F656" s="21"/>
      <c r="G656" s="22" t="str">
        <f t="shared" si="0"/>
        <v/>
      </c>
      <c r="H656" s="22" t="str">
        <f t="array" ref="H656">IF(F656="","",INDEX(Cripto!$A$1:$A$12,G656))</f>
        <v/>
      </c>
    </row>
    <row r="657" spans="2:8">
      <c r="B657" s="25"/>
      <c r="C657" s="16"/>
      <c r="D657" s="18"/>
      <c r="E657" s="26"/>
      <c r="F657" s="27"/>
      <c r="G657" s="28" t="str">
        <f t="shared" si="0"/>
        <v/>
      </c>
      <c r="H657" s="28" t="str">
        <f t="array" ref="H657">IF(F657="","",INDEX(Cripto!$A$1:$A$12,G657))</f>
        <v/>
      </c>
    </row>
    <row r="658" spans="2:8">
      <c r="B658" s="12"/>
      <c r="C658" s="16"/>
      <c r="D658" s="18"/>
      <c r="E658" s="19"/>
      <c r="F658" s="21"/>
      <c r="G658" s="22" t="str">
        <f t="shared" si="0"/>
        <v/>
      </c>
      <c r="H658" s="22" t="str">
        <f t="array" ref="H658">IF(F658="","",INDEX(Cripto!$A$1:$A$12,G658))</f>
        <v/>
      </c>
    </row>
    <row r="659" spans="2:8">
      <c r="B659" s="25"/>
      <c r="C659" s="16"/>
      <c r="D659" s="18"/>
      <c r="E659" s="26"/>
      <c r="F659" s="27"/>
      <c r="G659" s="28" t="str">
        <f t="shared" si="0"/>
        <v/>
      </c>
      <c r="H659" s="28" t="str">
        <f t="array" ref="H659">IF(F659="","",INDEX(Cripto!$A$1:$A$12,G659))</f>
        <v/>
      </c>
    </row>
    <row r="660" spans="2:8">
      <c r="B660" s="12"/>
      <c r="C660" s="16"/>
      <c r="D660" s="18"/>
      <c r="E660" s="19"/>
      <c r="F660" s="21"/>
      <c r="G660" s="22" t="str">
        <f t="shared" si="0"/>
        <v/>
      </c>
      <c r="H660" s="22" t="str">
        <f t="array" ref="H660">IF(F660="","",INDEX(Cripto!$A$1:$A$12,G660))</f>
        <v/>
      </c>
    </row>
    <row r="661" spans="2:8">
      <c r="B661" s="25"/>
      <c r="C661" s="16"/>
      <c r="D661" s="18"/>
      <c r="E661" s="26"/>
      <c r="F661" s="27"/>
      <c r="G661" s="28" t="str">
        <f t="shared" si="0"/>
        <v/>
      </c>
      <c r="H661" s="28" t="str">
        <f t="array" ref="H661">IF(F661="","",INDEX(Cripto!$A$1:$A$12,G661))</f>
        <v/>
      </c>
    </row>
    <row r="662" spans="2:8">
      <c r="B662" s="12"/>
      <c r="C662" s="16"/>
      <c r="D662" s="18"/>
      <c r="E662" s="19"/>
      <c r="F662" s="21"/>
      <c r="G662" s="22" t="str">
        <f t="shared" si="0"/>
        <v/>
      </c>
      <c r="H662" s="22" t="str">
        <f t="array" ref="H662">IF(F662="","",INDEX(Cripto!$A$1:$A$12,G662))</f>
        <v/>
      </c>
    </row>
    <row r="663" spans="2:8">
      <c r="B663" s="25"/>
      <c r="C663" s="16"/>
      <c r="D663" s="18"/>
      <c r="E663" s="26"/>
      <c r="F663" s="27"/>
      <c r="G663" s="28" t="str">
        <f t="shared" si="0"/>
        <v/>
      </c>
      <c r="H663" s="28" t="str">
        <f t="array" ref="H663">IF(F663="","",INDEX(Cripto!$A$1:$A$12,G663))</f>
        <v/>
      </c>
    </row>
    <row r="664" spans="2:8">
      <c r="B664" s="12"/>
      <c r="C664" s="16"/>
      <c r="D664" s="18"/>
      <c r="E664" s="19"/>
      <c r="F664" s="21"/>
      <c r="G664" s="22" t="str">
        <f t="shared" si="0"/>
        <v/>
      </c>
      <c r="H664" s="22" t="str">
        <f t="array" ref="H664">IF(F664="","",INDEX(Cripto!$A$1:$A$12,G664))</f>
        <v/>
      </c>
    </row>
    <row r="665" spans="2:8">
      <c r="B665" s="25"/>
      <c r="C665" s="16"/>
      <c r="D665" s="18"/>
      <c r="E665" s="26"/>
      <c r="F665" s="27"/>
      <c r="G665" s="28" t="str">
        <f t="shared" si="0"/>
        <v/>
      </c>
      <c r="H665" s="28" t="str">
        <f t="array" ref="H665">IF(F665="","",INDEX(Cripto!$A$1:$A$12,G665))</f>
        <v/>
      </c>
    </row>
    <row r="666" spans="2:8">
      <c r="B666" s="12"/>
      <c r="C666" s="16"/>
      <c r="D666" s="18"/>
      <c r="E666" s="19"/>
      <c r="F666" s="21"/>
      <c r="G666" s="22" t="str">
        <f t="shared" si="0"/>
        <v/>
      </c>
      <c r="H666" s="22" t="str">
        <f t="array" ref="H666">IF(F666="","",INDEX(Cripto!$A$1:$A$12,G666))</f>
        <v/>
      </c>
    </row>
    <row r="667" spans="2:8">
      <c r="B667" s="25"/>
      <c r="C667" s="16"/>
      <c r="D667" s="18"/>
      <c r="E667" s="26"/>
      <c r="F667" s="27"/>
      <c r="G667" s="28" t="str">
        <f t="shared" si="0"/>
        <v/>
      </c>
      <c r="H667" s="28" t="str">
        <f t="array" ref="H667">IF(F667="","",INDEX(Cripto!$A$1:$A$12,G667))</f>
        <v/>
      </c>
    </row>
    <row r="668" spans="2:8">
      <c r="B668" s="12"/>
      <c r="C668" s="16"/>
      <c r="D668" s="18"/>
      <c r="E668" s="19"/>
      <c r="F668" s="21"/>
      <c r="G668" s="22" t="str">
        <f t="shared" si="0"/>
        <v/>
      </c>
      <c r="H668" s="22" t="str">
        <f t="array" ref="H668">IF(F668="","",INDEX(Cripto!$A$1:$A$12,G668))</f>
        <v/>
      </c>
    </row>
    <row r="669" spans="2:8">
      <c r="B669" s="25"/>
      <c r="C669" s="16"/>
      <c r="D669" s="18"/>
      <c r="E669" s="26"/>
      <c r="F669" s="27"/>
      <c r="G669" s="28" t="str">
        <f t="shared" si="0"/>
        <v/>
      </c>
      <c r="H669" s="28" t="str">
        <f t="array" ref="H669">IF(F669="","",INDEX(Cripto!$A$1:$A$12,G669))</f>
        <v/>
      </c>
    </row>
    <row r="670" spans="2:8">
      <c r="B670" s="12"/>
      <c r="C670" s="16"/>
      <c r="D670" s="18"/>
      <c r="E670" s="19"/>
      <c r="F670" s="21"/>
      <c r="G670" s="22" t="str">
        <f t="shared" si="0"/>
        <v/>
      </c>
      <c r="H670" s="22" t="str">
        <f t="array" ref="H670">IF(F670="","",INDEX(Cripto!$A$1:$A$12,G670))</f>
        <v/>
      </c>
    </row>
    <row r="671" spans="2:8">
      <c r="B671" s="25"/>
      <c r="C671" s="16"/>
      <c r="D671" s="18"/>
      <c r="E671" s="26"/>
      <c r="F671" s="27"/>
      <c r="G671" s="28" t="str">
        <f t="shared" si="0"/>
        <v/>
      </c>
      <c r="H671" s="28" t="str">
        <f t="array" ref="H671">IF(F671="","",INDEX(Cripto!$A$1:$A$12,G671))</f>
        <v/>
      </c>
    </row>
    <row r="672" spans="2:8">
      <c r="B672" s="12"/>
      <c r="C672" s="16"/>
      <c r="D672" s="18"/>
      <c r="E672" s="19"/>
      <c r="F672" s="21"/>
      <c r="G672" s="22" t="str">
        <f t="shared" si="0"/>
        <v/>
      </c>
      <c r="H672" s="22" t="str">
        <f t="array" ref="H672">IF(F672="","",INDEX(Cripto!$A$1:$A$12,G672))</f>
        <v/>
      </c>
    </row>
    <row r="673" spans="2:8">
      <c r="B673" s="25"/>
      <c r="C673" s="16"/>
      <c r="D673" s="18"/>
      <c r="E673" s="26"/>
      <c r="F673" s="27"/>
      <c r="G673" s="28" t="str">
        <f t="shared" si="0"/>
        <v/>
      </c>
      <c r="H673" s="28" t="str">
        <f t="array" ref="H673">IF(F673="","",INDEX(Cripto!$A$1:$A$12,G673))</f>
        <v/>
      </c>
    </row>
    <row r="674" spans="2:8">
      <c r="B674" s="12"/>
      <c r="C674" s="16"/>
      <c r="D674" s="18"/>
      <c r="E674" s="19"/>
      <c r="F674" s="21"/>
      <c r="G674" s="22" t="str">
        <f t="shared" si="0"/>
        <v/>
      </c>
      <c r="H674" s="22" t="str">
        <f t="array" ref="H674">IF(F674="","",INDEX(Cripto!$A$1:$A$12,G674))</f>
        <v/>
      </c>
    </row>
    <row r="675" spans="2:8">
      <c r="B675" s="25"/>
      <c r="C675" s="16"/>
      <c r="D675" s="18"/>
      <c r="E675" s="26"/>
      <c r="F675" s="27"/>
      <c r="G675" s="28" t="str">
        <f t="shared" si="0"/>
        <v/>
      </c>
      <c r="H675" s="28" t="str">
        <f t="array" ref="H675">IF(F675="","",INDEX(Cripto!$A$1:$A$12,G675))</f>
        <v/>
      </c>
    </row>
    <row r="676" spans="2:8">
      <c r="B676" s="12"/>
      <c r="C676" s="16"/>
      <c r="D676" s="18"/>
      <c r="E676" s="19"/>
      <c r="F676" s="21"/>
      <c r="G676" s="22" t="str">
        <f t="shared" si="0"/>
        <v/>
      </c>
      <c r="H676" s="22" t="str">
        <f t="array" ref="H676">IF(F676="","",INDEX(Cripto!$A$1:$A$12,G676))</f>
        <v/>
      </c>
    </row>
    <row r="677" spans="2:8">
      <c r="B677" s="25"/>
      <c r="C677" s="16"/>
      <c r="D677" s="18"/>
      <c r="E677" s="26"/>
      <c r="F677" s="27"/>
      <c r="G677" s="28" t="str">
        <f t="shared" si="0"/>
        <v/>
      </c>
      <c r="H677" s="28" t="str">
        <f t="array" ref="H677">IF(F677="","",INDEX(Cripto!$A$1:$A$12,G677))</f>
        <v/>
      </c>
    </row>
    <row r="678" spans="2:8">
      <c r="B678" s="12"/>
      <c r="C678" s="16"/>
      <c r="D678" s="18"/>
      <c r="E678" s="19"/>
      <c r="F678" s="21"/>
      <c r="G678" s="22" t="str">
        <f t="shared" si="0"/>
        <v/>
      </c>
      <c r="H678" s="22" t="str">
        <f t="array" ref="H678">IF(F678="","",INDEX(Cripto!$A$1:$A$12,G678))</f>
        <v/>
      </c>
    </row>
    <row r="679" spans="2:8">
      <c r="B679" s="25"/>
      <c r="C679" s="16"/>
      <c r="D679" s="18"/>
      <c r="E679" s="26"/>
      <c r="F679" s="27"/>
      <c r="G679" s="28" t="str">
        <f t="shared" si="0"/>
        <v/>
      </c>
      <c r="H679" s="28" t="str">
        <f t="array" ref="H679">IF(F679="","",INDEX(Cripto!$A$1:$A$12,G679))</f>
        <v/>
      </c>
    </row>
    <row r="680" spans="2:8">
      <c r="B680" s="12"/>
      <c r="C680" s="16"/>
      <c r="D680" s="18"/>
      <c r="E680" s="19"/>
      <c r="F680" s="21"/>
      <c r="G680" s="22" t="str">
        <f t="shared" si="0"/>
        <v/>
      </c>
      <c r="H680" s="22" t="str">
        <f t="array" ref="H680">IF(F680="","",INDEX(Cripto!$A$1:$A$12,G680))</f>
        <v/>
      </c>
    </row>
    <row r="681" spans="2:8">
      <c r="B681" s="25"/>
      <c r="C681" s="16"/>
      <c r="D681" s="18"/>
      <c r="E681" s="26"/>
      <c r="F681" s="27"/>
      <c r="G681" s="28" t="str">
        <f t="shared" si="0"/>
        <v/>
      </c>
      <c r="H681" s="28" t="str">
        <f t="array" ref="H681">IF(F681="","",INDEX(Cripto!$A$1:$A$12,G681))</f>
        <v/>
      </c>
    </row>
    <row r="682" spans="2:8">
      <c r="B682" s="12"/>
      <c r="C682" s="16"/>
      <c r="D682" s="18"/>
      <c r="E682" s="19"/>
      <c r="F682" s="21"/>
      <c r="G682" s="22" t="str">
        <f t="shared" si="0"/>
        <v/>
      </c>
      <c r="H682" s="22" t="str">
        <f t="array" ref="H682">IF(F682="","",INDEX(Cripto!$A$1:$A$12,G682))</f>
        <v/>
      </c>
    </row>
    <row r="683" spans="2:8">
      <c r="B683" s="25"/>
      <c r="C683" s="16"/>
      <c r="D683" s="18"/>
      <c r="E683" s="26"/>
      <c r="F683" s="27"/>
      <c r="G683" s="28" t="str">
        <f t="shared" si="0"/>
        <v/>
      </c>
      <c r="H683" s="28" t="str">
        <f t="array" ref="H683">IF(F683="","",INDEX(Cripto!$A$1:$A$12,G683))</f>
        <v/>
      </c>
    </row>
    <row r="684" spans="2:8">
      <c r="B684" s="12"/>
      <c r="C684" s="16"/>
      <c r="D684" s="18"/>
      <c r="E684" s="19"/>
      <c r="F684" s="21"/>
      <c r="G684" s="22" t="str">
        <f t="shared" si="0"/>
        <v/>
      </c>
      <c r="H684" s="22" t="str">
        <f t="array" ref="H684">IF(F684="","",INDEX(Cripto!$A$1:$A$12,G684))</f>
        <v/>
      </c>
    </row>
    <row r="685" spans="2:8">
      <c r="B685" s="25"/>
      <c r="C685" s="16"/>
      <c r="D685" s="18"/>
      <c r="E685" s="26"/>
      <c r="F685" s="27"/>
      <c r="G685" s="28" t="str">
        <f t="shared" si="0"/>
        <v/>
      </c>
      <c r="H685" s="28" t="str">
        <f t="array" ref="H685">IF(F685="","",INDEX(Cripto!$A$1:$A$12,G685))</f>
        <v/>
      </c>
    </row>
    <row r="686" spans="2:8">
      <c r="B686" s="12"/>
      <c r="C686" s="16"/>
      <c r="D686" s="18"/>
      <c r="E686" s="19"/>
      <c r="F686" s="21"/>
      <c r="G686" s="22" t="str">
        <f t="shared" si="0"/>
        <v/>
      </c>
      <c r="H686" s="22" t="str">
        <f t="array" ref="H686">IF(F686="","",INDEX(Cripto!$A$1:$A$12,G686))</f>
        <v/>
      </c>
    </row>
    <row r="687" spans="2:8">
      <c r="B687" s="25"/>
      <c r="C687" s="16"/>
      <c r="D687" s="18"/>
      <c r="E687" s="26"/>
      <c r="F687" s="27"/>
      <c r="G687" s="28" t="str">
        <f t="shared" si="0"/>
        <v/>
      </c>
      <c r="H687" s="28" t="str">
        <f t="array" ref="H687">IF(F687="","",INDEX(Cripto!$A$1:$A$12,G687))</f>
        <v/>
      </c>
    </row>
    <row r="688" spans="2:8">
      <c r="B688" s="12"/>
      <c r="C688" s="16"/>
      <c r="D688" s="18"/>
      <c r="E688" s="19"/>
      <c r="F688" s="21"/>
      <c r="G688" s="22" t="str">
        <f t="shared" si="0"/>
        <v/>
      </c>
      <c r="H688" s="22" t="str">
        <f t="array" ref="H688">IF(F688="","",INDEX(Cripto!$A$1:$A$12,G688))</f>
        <v/>
      </c>
    </row>
    <row r="689" spans="2:8">
      <c r="B689" s="25"/>
      <c r="C689" s="16"/>
      <c r="D689" s="18"/>
      <c r="E689" s="26"/>
      <c r="F689" s="27"/>
      <c r="G689" s="28" t="str">
        <f t="shared" si="0"/>
        <v/>
      </c>
      <c r="H689" s="28" t="str">
        <f t="array" ref="H689">IF(F689="","",INDEX(Cripto!$A$1:$A$12,G689))</f>
        <v/>
      </c>
    </row>
    <row r="690" spans="2:8">
      <c r="B690" s="12"/>
      <c r="C690" s="16"/>
      <c r="D690" s="18"/>
      <c r="E690" s="19"/>
      <c r="F690" s="21"/>
      <c r="G690" s="22" t="str">
        <f t="shared" si="0"/>
        <v/>
      </c>
      <c r="H690" s="22" t="str">
        <f t="array" ref="H690">IF(F690="","",INDEX(Cripto!$A$1:$A$12,G690))</f>
        <v/>
      </c>
    </row>
    <row r="691" spans="2:8">
      <c r="B691" s="25"/>
      <c r="C691" s="16"/>
      <c r="D691" s="18"/>
      <c r="E691" s="26"/>
      <c r="F691" s="27"/>
      <c r="G691" s="28" t="str">
        <f t="shared" si="0"/>
        <v/>
      </c>
      <c r="H691" s="28" t="str">
        <f t="array" ref="H691">IF(F691="","",INDEX(Cripto!$A$1:$A$12,G691))</f>
        <v/>
      </c>
    </row>
    <row r="692" spans="2:8">
      <c r="B692" s="12"/>
      <c r="C692" s="16"/>
      <c r="D692" s="18"/>
      <c r="E692" s="19"/>
      <c r="F692" s="21"/>
      <c r="G692" s="22" t="str">
        <f t="shared" si="0"/>
        <v/>
      </c>
      <c r="H692" s="22" t="str">
        <f t="array" ref="H692">IF(F692="","",INDEX(Cripto!$A$1:$A$12,G692))</f>
        <v/>
      </c>
    </row>
    <row r="693" spans="2:8">
      <c r="B693" s="25"/>
      <c r="C693" s="16"/>
      <c r="D693" s="18"/>
      <c r="E693" s="26"/>
      <c r="F693" s="27"/>
      <c r="G693" s="28" t="str">
        <f t="shared" si="0"/>
        <v/>
      </c>
      <c r="H693" s="28" t="str">
        <f t="array" ref="H693">IF(F693="","",INDEX(Cripto!$A$1:$A$12,G693))</f>
        <v/>
      </c>
    </row>
    <row r="694" spans="2:8">
      <c r="B694" s="12"/>
      <c r="C694" s="16"/>
      <c r="D694" s="18"/>
      <c r="E694" s="19"/>
      <c r="F694" s="21"/>
      <c r="G694" s="22" t="str">
        <f t="shared" si="0"/>
        <v/>
      </c>
      <c r="H694" s="22" t="str">
        <f t="array" ref="H694">IF(F694="","",INDEX(Cripto!$A$1:$A$12,G694))</f>
        <v/>
      </c>
    </row>
    <row r="695" spans="2:8">
      <c r="B695" s="25"/>
      <c r="C695" s="16"/>
      <c r="D695" s="18"/>
      <c r="E695" s="26"/>
      <c r="F695" s="27"/>
      <c r="G695" s="28" t="str">
        <f t="shared" si="0"/>
        <v/>
      </c>
      <c r="H695" s="28" t="str">
        <f t="array" ref="H695">IF(F695="","",INDEX(Cripto!$A$1:$A$12,G695))</f>
        <v/>
      </c>
    </row>
    <row r="696" spans="2:8">
      <c r="B696" s="12"/>
      <c r="C696" s="16"/>
      <c r="D696" s="18"/>
      <c r="E696" s="19"/>
      <c r="F696" s="21"/>
      <c r="G696" s="22" t="str">
        <f t="shared" si="0"/>
        <v/>
      </c>
      <c r="H696" s="22" t="str">
        <f t="array" ref="H696">IF(F696="","",INDEX(Cripto!$A$1:$A$12,G696))</f>
        <v/>
      </c>
    </row>
    <row r="697" spans="2:8">
      <c r="B697" s="25"/>
      <c r="C697" s="16"/>
      <c r="D697" s="18"/>
      <c r="E697" s="26"/>
      <c r="F697" s="27"/>
      <c r="G697" s="28" t="str">
        <f t="shared" si="0"/>
        <v/>
      </c>
      <c r="H697" s="28" t="str">
        <f t="array" ref="H697">IF(F697="","",INDEX(Cripto!$A$1:$A$12,G697))</f>
        <v/>
      </c>
    </row>
    <row r="698" spans="2:8">
      <c r="B698" s="12"/>
      <c r="C698" s="16"/>
      <c r="D698" s="18"/>
      <c r="E698" s="19"/>
      <c r="F698" s="21"/>
      <c r="G698" s="22" t="str">
        <f t="shared" si="0"/>
        <v/>
      </c>
      <c r="H698" s="22" t="str">
        <f t="array" ref="H698">IF(F698="","",INDEX(Cripto!$A$1:$A$12,G698))</f>
        <v/>
      </c>
    </row>
    <row r="699" spans="2:8">
      <c r="B699" s="25"/>
      <c r="C699" s="16"/>
      <c r="D699" s="18"/>
      <c r="E699" s="26"/>
      <c r="F699" s="27"/>
      <c r="G699" s="28" t="str">
        <f t="shared" si="0"/>
        <v/>
      </c>
      <c r="H699" s="28" t="str">
        <f t="array" ref="H699">IF(F699="","",INDEX(Cripto!$A$1:$A$12,G699))</f>
        <v/>
      </c>
    </row>
    <row r="700" spans="2:8">
      <c r="B700" s="12"/>
      <c r="C700" s="16"/>
      <c r="D700" s="18"/>
      <c r="E700" s="19"/>
      <c r="F700" s="21"/>
      <c r="G700" s="22" t="str">
        <f t="shared" si="0"/>
        <v/>
      </c>
      <c r="H700" s="22" t="str">
        <f t="array" ref="H700">IF(F700="","",INDEX(Cripto!$A$1:$A$12,G700))</f>
        <v/>
      </c>
    </row>
    <row r="701" spans="2:8">
      <c r="B701" s="25"/>
      <c r="C701" s="16"/>
      <c r="D701" s="18"/>
      <c r="E701" s="26"/>
      <c r="F701" s="27"/>
      <c r="G701" s="28" t="str">
        <f t="shared" si="0"/>
        <v/>
      </c>
      <c r="H701" s="28" t="str">
        <f t="array" ref="H701">IF(F701="","",INDEX(Cripto!$A$1:$A$12,G701))</f>
        <v/>
      </c>
    </row>
    <row r="702" spans="2:8">
      <c r="B702" s="12"/>
      <c r="C702" s="16"/>
      <c r="D702" s="18"/>
      <c r="E702" s="19"/>
      <c r="F702" s="21"/>
      <c r="G702" s="22" t="str">
        <f t="shared" si="0"/>
        <v/>
      </c>
      <c r="H702" s="22" t="str">
        <f t="array" ref="H702">IF(F702="","",INDEX(Cripto!$A$1:$A$12,G702))</f>
        <v/>
      </c>
    </row>
    <row r="703" spans="2:8">
      <c r="B703" s="25"/>
      <c r="C703" s="16"/>
      <c r="D703" s="18"/>
      <c r="E703" s="26"/>
      <c r="F703" s="27"/>
      <c r="G703" s="28" t="str">
        <f t="shared" si="0"/>
        <v/>
      </c>
      <c r="H703" s="28" t="str">
        <f t="array" ref="H703">IF(F703="","",INDEX(Cripto!$A$1:$A$12,G703))</f>
        <v/>
      </c>
    </row>
    <row r="704" spans="2:8">
      <c r="B704" s="12"/>
      <c r="C704" s="16"/>
      <c r="D704" s="18"/>
      <c r="E704" s="19"/>
      <c r="F704" s="21"/>
      <c r="G704" s="22" t="str">
        <f t="shared" si="0"/>
        <v/>
      </c>
      <c r="H704" s="22" t="str">
        <f t="array" ref="H704">IF(F704="","",INDEX(Cripto!$A$1:$A$12,G704))</f>
        <v/>
      </c>
    </row>
    <row r="705" spans="2:8">
      <c r="B705" s="25"/>
      <c r="C705" s="16"/>
      <c r="D705" s="18"/>
      <c r="E705" s="26"/>
      <c r="F705" s="27"/>
      <c r="G705" s="28" t="str">
        <f t="shared" si="0"/>
        <v/>
      </c>
      <c r="H705" s="28" t="str">
        <f t="array" ref="H705">IF(F705="","",INDEX(Cripto!$A$1:$A$12,G705))</f>
        <v/>
      </c>
    </row>
    <row r="706" spans="2:8">
      <c r="B706" s="12"/>
      <c r="C706" s="16"/>
      <c r="D706" s="18"/>
      <c r="E706" s="19"/>
      <c r="F706" s="21"/>
      <c r="G706" s="22" t="str">
        <f t="shared" si="0"/>
        <v/>
      </c>
      <c r="H706" s="22" t="str">
        <f t="array" ref="H706">IF(F706="","",INDEX(Cripto!$A$1:$A$12,G706))</f>
        <v/>
      </c>
    </row>
    <row r="707" spans="2:8">
      <c r="B707" s="25"/>
      <c r="C707" s="16"/>
      <c r="D707" s="18"/>
      <c r="E707" s="26"/>
      <c r="F707" s="27"/>
      <c r="G707" s="28" t="str">
        <f t="shared" si="0"/>
        <v/>
      </c>
      <c r="H707" s="28" t="str">
        <f t="array" ref="H707">IF(F707="","",INDEX(Cripto!$A$1:$A$12,G707))</f>
        <v/>
      </c>
    </row>
    <row r="708" spans="2:8">
      <c r="B708" s="12"/>
      <c r="C708" s="16"/>
      <c r="D708" s="18"/>
      <c r="E708" s="19"/>
      <c r="F708" s="21"/>
      <c r="G708" s="22" t="str">
        <f t="shared" si="0"/>
        <v/>
      </c>
      <c r="H708" s="22" t="str">
        <f t="array" ref="H708">IF(F708="","",INDEX(Cripto!$A$1:$A$12,G708))</f>
        <v/>
      </c>
    </row>
    <row r="709" spans="2:8">
      <c r="B709" s="25"/>
      <c r="C709" s="16"/>
      <c r="D709" s="18"/>
      <c r="E709" s="26"/>
      <c r="F709" s="27"/>
      <c r="G709" s="28" t="str">
        <f t="shared" si="0"/>
        <v/>
      </c>
      <c r="H709" s="28" t="str">
        <f t="array" ref="H709">IF(F709="","",INDEX(Cripto!$A$1:$A$12,G709))</f>
        <v/>
      </c>
    </row>
    <row r="710" spans="2:8">
      <c r="B710" s="12"/>
      <c r="C710" s="16"/>
      <c r="D710" s="18"/>
      <c r="E710" s="19"/>
      <c r="F710" s="21"/>
      <c r="G710" s="22" t="str">
        <f t="shared" si="0"/>
        <v/>
      </c>
      <c r="H710" s="22" t="str">
        <f t="array" ref="H710">IF(F710="","",INDEX(Cripto!$A$1:$A$12,G710))</f>
        <v/>
      </c>
    </row>
    <row r="711" spans="2:8">
      <c r="B711" s="25"/>
      <c r="C711" s="16"/>
      <c r="D711" s="18"/>
      <c r="E711" s="26"/>
      <c r="F711" s="27"/>
      <c r="G711" s="28" t="str">
        <f t="shared" si="0"/>
        <v/>
      </c>
      <c r="H711" s="28" t="str">
        <f t="array" ref="H711">IF(F711="","",INDEX(Cripto!$A$1:$A$12,G711))</f>
        <v/>
      </c>
    </row>
    <row r="712" spans="2:8">
      <c r="B712" s="12"/>
      <c r="C712" s="16"/>
      <c r="D712" s="18"/>
      <c r="E712" s="19"/>
      <c r="F712" s="21"/>
      <c r="G712" s="22" t="str">
        <f t="shared" si="0"/>
        <v/>
      </c>
      <c r="H712" s="22" t="str">
        <f t="array" ref="H712">IF(F712="","",INDEX(Cripto!$A$1:$A$12,G712))</f>
        <v/>
      </c>
    </row>
    <row r="713" spans="2:8">
      <c r="B713" s="25"/>
      <c r="C713" s="16"/>
      <c r="D713" s="18"/>
      <c r="E713" s="26"/>
      <c r="F713" s="27"/>
      <c r="G713" s="28" t="str">
        <f t="shared" si="0"/>
        <v/>
      </c>
      <c r="H713" s="28" t="str">
        <f t="array" ref="H713">IF(F713="","",INDEX(Cripto!$A$1:$A$12,G713))</f>
        <v/>
      </c>
    </row>
    <row r="714" spans="2:8">
      <c r="B714" s="12"/>
      <c r="C714" s="16"/>
      <c r="D714" s="18"/>
      <c r="E714" s="19"/>
      <c r="F714" s="21"/>
      <c r="G714" s="22" t="str">
        <f t="shared" si="0"/>
        <v/>
      </c>
      <c r="H714" s="22" t="str">
        <f t="array" ref="H714">IF(F714="","",INDEX(Cripto!$A$1:$A$12,G714))</f>
        <v/>
      </c>
    </row>
    <row r="715" spans="2:8">
      <c r="B715" s="25"/>
      <c r="C715" s="16"/>
      <c r="D715" s="18"/>
      <c r="E715" s="26"/>
      <c r="F715" s="27"/>
      <c r="G715" s="28" t="str">
        <f t="shared" si="0"/>
        <v/>
      </c>
      <c r="H715" s="28" t="str">
        <f t="array" ref="H715">IF(F715="","",INDEX(Cripto!$A$1:$A$12,G715))</f>
        <v/>
      </c>
    </row>
    <row r="716" spans="2:8">
      <c r="B716" s="12"/>
      <c r="C716" s="16"/>
      <c r="D716" s="18"/>
      <c r="E716" s="19"/>
      <c r="F716" s="21"/>
      <c r="G716" s="22" t="str">
        <f t="shared" si="0"/>
        <v/>
      </c>
      <c r="H716" s="22" t="str">
        <f t="array" ref="H716">IF(F716="","",INDEX(Cripto!$A$1:$A$12,G716))</f>
        <v/>
      </c>
    </row>
    <row r="717" spans="2:8">
      <c r="B717" s="25"/>
      <c r="C717" s="16"/>
      <c r="D717" s="18"/>
      <c r="E717" s="26"/>
      <c r="F717" s="27"/>
      <c r="G717" s="28" t="str">
        <f t="shared" si="0"/>
        <v/>
      </c>
      <c r="H717" s="28" t="str">
        <f t="array" ref="H717">IF(F717="","",INDEX(Cripto!$A$1:$A$12,G717))</f>
        <v/>
      </c>
    </row>
    <row r="718" spans="2:8">
      <c r="B718" s="12"/>
      <c r="C718" s="16"/>
      <c r="D718" s="18"/>
      <c r="E718" s="19"/>
      <c r="F718" s="21"/>
      <c r="G718" s="22" t="str">
        <f t="shared" si="0"/>
        <v/>
      </c>
      <c r="H718" s="22" t="str">
        <f t="array" ref="H718">IF(F718="","",INDEX(Cripto!$A$1:$A$12,G718))</f>
        <v/>
      </c>
    </row>
    <row r="719" spans="2:8">
      <c r="B719" s="25"/>
      <c r="C719" s="16"/>
      <c r="D719" s="18"/>
      <c r="E719" s="26"/>
      <c r="F719" s="27"/>
      <c r="G719" s="28" t="str">
        <f t="shared" si="0"/>
        <v/>
      </c>
      <c r="H719" s="28" t="str">
        <f t="array" ref="H719">IF(F719="","",INDEX(Cripto!$A$1:$A$12,G719))</f>
        <v/>
      </c>
    </row>
    <row r="720" spans="2:8">
      <c r="B720" s="12"/>
      <c r="C720" s="16"/>
      <c r="D720" s="18"/>
      <c r="E720" s="19"/>
      <c r="F720" s="21"/>
      <c r="G720" s="22" t="str">
        <f t="shared" si="0"/>
        <v/>
      </c>
      <c r="H720" s="22" t="str">
        <f t="array" ref="H720">IF(F720="","",INDEX(Cripto!$A$1:$A$12,G720))</f>
        <v/>
      </c>
    </row>
    <row r="721" spans="2:8">
      <c r="B721" s="25"/>
      <c r="C721" s="16"/>
      <c r="D721" s="18"/>
      <c r="E721" s="26"/>
      <c r="F721" s="27"/>
      <c r="G721" s="28" t="str">
        <f t="shared" si="0"/>
        <v/>
      </c>
      <c r="H721" s="28" t="str">
        <f t="array" ref="H721">IF(F721="","",INDEX(Cripto!$A$1:$A$12,G721))</f>
        <v/>
      </c>
    </row>
    <row r="722" spans="2:8">
      <c r="B722" s="12"/>
      <c r="C722" s="16"/>
      <c r="D722" s="18"/>
      <c r="E722" s="19"/>
      <c r="F722" s="21"/>
      <c r="G722" s="22" t="str">
        <f t="shared" si="0"/>
        <v/>
      </c>
      <c r="H722" s="22" t="str">
        <f t="array" ref="H722">IF(F722="","",INDEX(Cripto!$A$1:$A$12,G722))</f>
        <v/>
      </c>
    </row>
    <row r="723" spans="2:8">
      <c r="B723" s="25"/>
      <c r="C723" s="16"/>
      <c r="D723" s="18"/>
      <c r="E723" s="26"/>
      <c r="F723" s="27"/>
      <c r="G723" s="28" t="str">
        <f t="shared" si="0"/>
        <v/>
      </c>
      <c r="H723" s="28" t="str">
        <f t="array" ref="H723">IF(F723="","",INDEX(Cripto!$A$1:$A$12,G723))</f>
        <v/>
      </c>
    </row>
    <row r="724" spans="2:8">
      <c r="B724" s="12"/>
      <c r="C724" s="16"/>
      <c r="D724" s="18"/>
      <c r="E724" s="19"/>
      <c r="F724" s="21"/>
      <c r="G724" s="22" t="str">
        <f t="shared" si="0"/>
        <v/>
      </c>
      <c r="H724" s="22" t="str">
        <f t="array" ref="H724">IF(F724="","",INDEX(Cripto!$A$1:$A$12,G724))</f>
        <v/>
      </c>
    </row>
    <row r="725" spans="2:8">
      <c r="B725" s="25"/>
      <c r="C725" s="16"/>
      <c r="D725" s="18"/>
      <c r="E725" s="26"/>
      <c r="F725" s="27"/>
      <c r="G725" s="28" t="str">
        <f t="shared" si="0"/>
        <v/>
      </c>
      <c r="H725" s="28" t="str">
        <f t="array" ref="H725">IF(F725="","",INDEX(Cripto!$A$1:$A$12,G725))</f>
        <v/>
      </c>
    </row>
    <row r="726" spans="2:8">
      <c r="B726" s="12"/>
      <c r="C726" s="16"/>
      <c r="D726" s="18"/>
      <c r="E726" s="19"/>
      <c r="F726" s="21"/>
      <c r="G726" s="22" t="str">
        <f t="shared" si="0"/>
        <v/>
      </c>
      <c r="H726" s="22" t="str">
        <f t="array" ref="H726">IF(F726="","",INDEX(Cripto!$A$1:$A$12,G726))</f>
        <v/>
      </c>
    </row>
    <row r="727" spans="2:8">
      <c r="B727" s="25"/>
      <c r="C727" s="16"/>
      <c r="D727" s="18"/>
      <c r="E727" s="26"/>
      <c r="F727" s="27"/>
      <c r="G727" s="28" t="str">
        <f t="shared" si="0"/>
        <v/>
      </c>
      <c r="H727" s="28" t="str">
        <f t="array" ref="H727">IF(F727="","",INDEX(Cripto!$A$1:$A$12,G727))</f>
        <v/>
      </c>
    </row>
    <row r="728" spans="2:8">
      <c r="B728" s="12"/>
      <c r="C728" s="16"/>
      <c r="D728" s="18"/>
      <c r="E728" s="19"/>
      <c r="F728" s="21"/>
      <c r="G728" s="22" t="str">
        <f t="shared" si="0"/>
        <v/>
      </c>
      <c r="H728" s="22" t="str">
        <f t="array" ref="H728">IF(F728="","",INDEX(Cripto!$A$1:$A$12,G728))</f>
        <v/>
      </c>
    </row>
    <row r="729" spans="2:8">
      <c r="B729" s="25"/>
      <c r="C729" s="16"/>
      <c r="D729" s="18"/>
      <c r="E729" s="26"/>
      <c r="F729" s="27"/>
      <c r="G729" s="28" t="str">
        <f t="shared" si="0"/>
        <v/>
      </c>
      <c r="H729" s="28" t="str">
        <f t="array" ref="H729">IF(F729="","",INDEX(Cripto!$A$1:$A$12,G729))</f>
        <v/>
      </c>
    </row>
    <row r="730" spans="2:8">
      <c r="B730" s="12"/>
      <c r="C730" s="16"/>
      <c r="D730" s="18"/>
      <c r="E730" s="19"/>
      <c r="F730" s="21"/>
      <c r="G730" s="22" t="str">
        <f t="shared" si="0"/>
        <v/>
      </c>
      <c r="H730" s="22" t="str">
        <f t="array" ref="H730">IF(F730="","",INDEX(Cripto!$A$1:$A$12,G730))</f>
        <v/>
      </c>
    </row>
    <row r="731" spans="2:8">
      <c r="B731" s="25"/>
      <c r="C731" s="16"/>
      <c r="D731" s="18"/>
      <c r="E731" s="26"/>
      <c r="F731" s="27"/>
      <c r="G731" s="28" t="str">
        <f t="shared" si="0"/>
        <v/>
      </c>
      <c r="H731" s="28" t="str">
        <f t="array" ref="H731">IF(F731="","",INDEX(Cripto!$A$1:$A$12,G731))</f>
        <v/>
      </c>
    </row>
    <row r="732" spans="2:8">
      <c r="B732" s="12"/>
      <c r="C732" s="16"/>
      <c r="D732" s="18"/>
      <c r="E732" s="19"/>
      <c r="F732" s="21"/>
      <c r="G732" s="22" t="str">
        <f t="shared" si="0"/>
        <v/>
      </c>
      <c r="H732" s="22" t="str">
        <f t="array" ref="H732">IF(F732="","",INDEX(Cripto!$A$1:$A$12,G732))</f>
        <v/>
      </c>
    </row>
    <row r="733" spans="2:8">
      <c r="B733" s="25"/>
      <c r="C733" s="16"/>
      <c r="D733" s="18"/>
      <c r="E733" s="26"/>
      <c r="F733" s="27"/>
      <c r="G733" s="28" t="str">
        <f t="shared" si="0"/>
        <v/>
      </c>
      <c r="H733" s="28" t="str">
        <f t="array" ref="H733">IF(F733="","",INDEX(Cripto!$A$1:$A$12,G733))</f>
        <v/>
      </c>
    </row>
    <row r="734" spans="2:8">
      <c r="B734" s="12"/>
      <c r="C734" s="16"/>
      <c r="D734" s="18"/>
      <c r="E734" s="19"/>
      <c r="F734" s="21"/>
      <c r="G734" s="22" t="str">
        <f t="shared" si="0"/>
        <v/>
      </c>
      <c r="H734" s="22" t="str">
        <f t="array" ref="H734">IF(F734="","",INDEX(Cripto!$A$1:$A$12,G734))</f>
        <v/>
      </c>
    </row>
    <row r="735" spans="2:8">
      <c r="B735" s="25"/>
      <c r="C735" s="16"/>
      <c r="D735" s="18"/>
      <c r="E735" s="26"/>
      <c r="F735" s="27"/>
      <c r="G735" s="28" t="str">
        <f t="shared" si="0"/>
        <v/>
      </c>
      <c r="H735" s="28" t="str">
        <f t="array" ref="H735">IF(F735="","",INDEX(Cripto!$A$1:$A$12,G735))</f>
        <v/>
      </c>
    </row>
    <row r="736" spans="2:8">
      <c r="B736" s="12"/>
      <c r="C736" s="16"/>
      <c r="D736" s="18"/>
      <c r="E736" s="19"/>
      <c r="F736" s="21"/>
      <c r="G736" s="22" t="str">
        <f t="shared" si="0"/>
        <v/>
      </c>
      <c r="H736" s="22" t="str">
        <f t="array" ref="H736">IF(F736="","",INDEX(Cripto!$A$1:$A$12,G736))</f>
        <v/>
      </c>
    </row>
    <row r="737" spans="2:8">
      <c r="B737" s="25"/>
      <c r="C737" s="16"/>
      <c r="D737" s="18"/>
      <c r="E737" s="26"/>
      <c r="F737" s="27"/>
      <c r="G737" s="28" t="str">
        <f t="shared" si="0"/>
        <v/>
      </c>
      <c r="H737" s="28" t="str">
        <f t="array" ref="H737">IF(F737="","",INDEX(Cripto!$A$1:$A$12,G737))</f>
        <v/>
      </c>
    </row>
    <row r="738" spans="2:8">
      <c r="B738" s="12"/>
      <c r="C738" s="16"/>
      <c r="D738" s="18"/>
      <c r="E738" s="19"/>
      <c r="F738" s="21"/>
      <c r="G738" s="22" t="str">
        <f t="shared" si="0"/>
        <v/>
      </c>
      <c r="H738" s="22" t="str">
        <f t="array" ref="H738">IF(F738="","",INDEX(Cripto!$A$1:$A$12,G738))</f>
        <v/>
      </c>
    </row>
    <row r="739" spans="2:8">
      <c r="B739" s="25"/>
      <c r="C739" s="16"/>
      <c r="D739" s="18"/>
      <c r="E739" s="26"/>
      <c r="F739" s="27"/>
      <c r="G739" s="28" t="str">
        <f t="shared" si="0"/>
        <v/>
      </c>
      <c r="H739" s="28" t="str">
        <f t="array" ref="H739">IF(F739="","",INDEX(Cripto!$A$1:$A$12,G739))</f>
        <v/>
      </c>
    </row>
    <row r="740" spans="2:8">
      <c r="B740" s="12"/>
      <c r="C740" s="16"/>
      <c r="D740" s="18"/>
      <c r="E740" s="19"/>
      <c r="F740" s="21"/>
      <c r="G740" s="22" t="str">
        <f t="shared" si="0"/>
        <v/>
      </c>
      <c r="H740" s="22" t="str">
        <f t="array" ref="H740">IF(F740="","",INDEX(Cripto!$A$1:$A$12,G740))</f>
        <v/>
      </c>
    </row>
    <row r="741" spans="2:8">
      <c r="B741" s="25"/>
      <c r="C741" s="16"/>
      <c r="D741" s="18"/>
      <c r="E741" s="26"/>
      <c r="F741" s="27"/>
      <c r="G741" s="28" t="str">
        <f t="shared" si="0"/>
        <v/>
      </c>
      <c r="H741" s="28" t="str">
        <f t="array" ref="H741">IF(F741="","",INDEX(Cripto!$A$1:$A$12,G741))</f>
        <v/>
      </c>
    </row>
    <row r="742" spans="2:8">
      <c r="B742" s="12"/>
      <c r="C742" s="16"/>
      <c r="D742" s="18"/>
      <c r="E742" s="19"/>
      <c r="F742" s="21"/>
      <c r="G742" s="22" t="str">
        <f t="shared" si="0"/>
        <v/>
      </c>
      <c r="H742" s="22" t="str">
        <f t="array" ref="H742">IF(F742="","",INDEX(Cripto!$A$1:$A$12,G742))</f>
        <v/>
      </c>
    </row>
    <row r="743" spans="2:8">
      <c r="B743" s="25"/>
      <c r="C743" s="16"/>
      <c r="D743" s="18"/>
      <c r="E743" s="26"/>
      <c r="F743" s="27"/>
      <c r="G743" s="28" t="str">
        <f t="shared" si="0"/>
        <v/>
      </c>
      <c r="H743" s="28" t="str">
        <f t="array" ref="H743">IF(F743="","",INDEX(Cripto!$A$1:$A$12,G743))</f>
        <v/>
      </c>
    </row>
    <row r="744" spans="2:8">
      <c r="B744" s="12"/>
      <c r="C744" s="16"/>
      <c r="D744" s="18"/>
      <c r="E744" s="19"/>
      <c r="F744" s="21"/>
      <c r="G744" s="22" t="str">
        <f t="shared" si="0"/>
        <v/>
      </c>
      <c r="H744" s="22" t="str">
        <f t="array" ref="H744">IF(F744="","",INDEX(Cripto!$A$1:$A$12,G744))</f>
        <v/>
      </c>
    </row>
    <row r="745" spans="2:8">
      <c r="B745" s="25"/>
      <c r="C745" s="16"/>
      <c r="D745" s="18"/>
      <c r="E745" s="26"/>
      <c r="F745" s="27"/>
      <c r="G745" s="28" t="str">
        <f t="shared" si="0"/>
        <v/>
      </c>
      <c r="H745" s="28" t="str">
        <f t="array" ref="H745">IF(F745="","",INDEX(Cripto!$A$1:$A$12,G745))</f>
        <v/>
      </c>
    </row>
    <row r="746" spans="2:8">
      <c r="B746" s="12"/>
      <c r="C746" s="16"/>
      <c r="D746" s="18"/>
      <c r="E746" s="19"/>
      <c r="F746" s="21"/>
      <c r="G746" s="22" t="str">
        <f t="shared" si="0"/>
        <v/>
      </c>
      <c r="H746" s="22" t="str">
        <f t="array" ref="H746">IF(F746="","",INDEX(Cripto!$A$1:$A$12,G746))</f>
        <v/>
      </c>
    </row>
    <row r="747" spans="2:8">
      <c r="B747" s="25"/>
      <c r="C747" s="16"/>
      <c r="D747" s="18"/>
      <c r="E747" s="26"/>
      <c r="F747" s="27"/>
      <c r="G747" s="28" t="str">
        <f t="shared" si="0"/>
        <v/>
      </c>
      <c r="H747" s="28" t="str">
        <f t="array" ref="H747">IF(F747="","",INDEX(Cripto!$A$1:$A$12,G747))</f>
        <v/>
      </c>
    </row>
    <row r="748" spans="2:8">
      <c r="B748" s="12"/>
      <c r="C748" s="16"/>
      <c r="D748" s="18"/>
      <c r="E748" s="19"/>
      <c r="F748" s="21"/>
      <c r="G748" s="22" t="str">
        <f t="shared" si="0"/>
        <v/>
      </c>
      <c r="H748" s="22" t="str">
        <f t="array" ref="H748">IF(F748="","",INDEX(Cripto!$A$1:$A$12,G748))</f>
        <v/>
      </c>
    </row>
    <row r="749" spans="2:8">
      <c r="B749" s="25"/>
      <c r="C749" s="16"/>
      <c r="D749" s="18"/>
      <c r="E749" s="26"/>
      <c r="F749" s="27"/>
      <c r="G749" s="28" t="str">
        <f t="shared" si="0"/>
        <v/>
      </c>
      <c r="H749" s="28" t="str">
        <f t="array" ref="H749">IF(F749="","",INDEX(Cripto!$A$1:$A$12,G749))</f>
        <v/>
      </c>
    </row>
    <row r="750" spans="2:8">
      <c r="B750" s="12"/>
      <c r="C750" s="16"/>
      <c r="D750" s="18"/>
      <c r="E750" s="19"/>
      <c r="F750" s="21"/>
      <c r="G750" s="22" t="str">
        <f t="shared" si="0"/>
        <v/>
      </c>
      <c r="H750" s="22" t="str">
        <f t="array" ref="H750">IF(F750="","",INDEX(Cripto!$A$1:$A$12,G750))</f>
        <v/>
      </c>
    </row>
    <row r="751" spans="2:8">
      <c r="B751" s="25"/>
      <c r="C751" s="16"/>
      <c r="D751" s="18"/>
      <c r="E751" s="26"/>
      <c r="F751" s="27"/>
      <c r="G751" s="28" t="str">
        <f t="shared" si="0"/>
        <v/>
      </c>
      <c r="H751" s="28" t="str">
        <f t="array" ref="H751">IF(F751="","",INDEX(Cripto!$A$1:$A$12,G751))</f>
        <v/>
      </c>
    </row>
    <row r="752" spans="2:8">
      <c r="B752" s="12"/>
      <c r="C752" s="16"/>
      <c r="D752" s="18"/>
      <c r="E752" s="19"/>
      <c r="F752" s="21"/>
      <c r="G752" s="22" t="str">
        <f t="shared" si="0"/>
        <v/>
      </c>
      <c r="H752" s="22" t="str">
        <f t="array" ref="H752">IF(F752="","",INDEX(Cripto!$A$1:$A$12,G752))</f>
        <v/>
      </c>
    </row>
    <row r="753" spans="2:8">
      <c r="B753" s="25"/>
      <c r="C753" s="16"/>
      <c r="D753" s="18"/>
      <c r="E753" s="26"/>
      <c r="F753" s="27"/>
      <c r="G753" s="28" t="str">
        <f t="shared" si="0"/>
        <v/>
      </c>
      <c r="H753" s="28" t="str">
        <f t="array" ref="H753">IF(F753="","",INDEX(Cripto!$A$1:$A$12,G753))</f>
        <v/>
      </c>
    </row>
    <row r="754" spans="2:8">
      <c r="B754" s="12"/>
      <c r="C754" s="16"/>
      <c r="D754" s="18"/>
      <c r="E754" s="19"/>
      <c r="F754" s="21"/>
      <c r="G754" s="22" t="str">
        <f t="shared" si="0"/>
        <v/>
      </c>
      <c r="H754" s="22" t="str">
        <f t="array" ref="H754">IF(F754="","",INDEX(Cripto!$A$1:$A$12,G754))</f>
        <v/>
      </c>
    </row>
    <row r="755" spans="2:8">
      <c r="B755" s="25"/>
      <c r="C755" s="16"/>
      <c r="D755" s="18"/>
      <c r="E755" s="26"/>
      <c r="F755" s="27"/>
      <c r="G755" s="28" t="str">
        <f t="shared" si="0"/>
        <v/>
      </c>
      <c r="H755" s="28" t="str">
        <f t="array" ref="H755">IF(F755="","",INDEX(Cripto!$A$1:$A$12,G755))</f>
        <v/>
      </c>
    </row>
    <row r="756" spans="2:8">
      <c r="B756" s="12"/>
      <c r="C756" s="16"/>
      <c r="D756" s="18"/>
      <c r="E756" s="19"/>
      <c r="F756" s="21"/>
      <c r="G756" s="22" t="str">
        <f t="shared" si="0"/>
        <v/>
      </c>
      <c r="H756" s="22" t="str">
        <f t="array" ref="H756">IF(F756="","",INDEX(Cripto!$A$1:$A$12,G756))</f>
        <v/>
      </c>
    </row>
    <row r="757" spans="2:8">
      <c r="B757" s="25"/>
      <c r="C757" s="16"/>
      <c r="D757" s="18"/>
      <c r="E757" s="26"/>
      <c r="F757" s="27"/>
      <c r="G757" s="28" t="str">
        <f t="shared" si="0"/>
        <v/>
      </c>
      <c r="H757" s="28" t="str">
        <f t="array" ref="H757">IF(F757="","",INDEX(Cripto!$A$1:$A$12,G757))</f>
        <v/>
      </c>
    </row>
    <row r="758" spans="2:8">
      <c r="B758" s="12"/>
      <c r="C758" s="16"/>
      <c r="D758" s="18"/>
      <c r="E758" s="19"/>
      <c r="F758" s="21"/>
      <c r="G758" s="22" t="str">
        <f t="shared" si="0"/>
        <v/>
      </c>
      <c r="H758" s="22" t="str">
        <f t="array" ref="H758">IF(F758="","",INDEX(Cripto!$A$1:$A$12,G758))</f>
        <v/>
      </c>
    </row>
    <row r="759" spans="2:8">
      <c r="B759" s="25"/>
      <c r="C759" s="16"/>
      <c r="D759" s="18"/>
      <c r="E759" s="26"/>
      <c r="F759" s="27"/>
      <c r="G759" s="28" t="str">
        <f t="shared" si="0"/>
        <v/>
      </c>
      <c r="H759" s="28" t="str">
        <f t="array" ref="H759">IF(F759="","",INDEX(Cripto!$A$1:$A$12,G759))</f>
        <v/>
      </c>
    </row>
    <row r="760" spans="2:8">
      <c r="B760" s="12"/>
      <c r="C760" s="16"/>
      <c r="D760" s="18"/>
      <c r="E760" s="19"/>
      <c r="F760" s="21"/>
      <c r="G760" s="22" t="str">
        <f t="shared" si="0"/>
        <v/>
      </c>
      <c r="H760" s="22" t="str">
        <f t="array" ref="H760">IF(F760="","",INDEX(Cripto!$A$1:$A$12,G760))</f>
        <v/>
      </c>
    </row>
    <row r="761" spans="2:8">
      <c r="B761" s="25"/>
      <c r="C761" s="16"/>
      <c r="D761" s="18"/>
      <c r="E761" s="26"/>
      <c r="F761" s="27"/>
      <c r="G761" s="28" t="str">
        <f t="shared" si="0"/>
        <v/>
      </c>
      <c r="H761" s="28" t="str">
        <f t="array" ref="H761">IF(F761="","",INDEX(Cripto!$A$1:$A$12,G761))</f>
        <v/>
      </c>
    </row>
    <row r="762" spans="2:8">
      <c r="B762" s="12"/>
      <c r="C762" s="16"/>
      <c r="D762" s="18"/>
      <c r="E762" s="19"/>
      <c r="F762" s="21"/>
      <c r="G762" s="22" t="str">
        <f t="shared" si="0"/>
        <v/>
      </c>
      <c r="H762" s="22" t="str">
        <f t="array" ref="H762">IF(F762="","",INDEX(Cripto!$A$1:$A$12,G762))</f>
        <v/>
      </c>
    </row>
    <row r="763" spans="2:8">
      <c r="B763" s="25"/>
      <c r="C763" s="16"/>
      <c r="D763" s="18"/>
      <c r="E763" s="26"/>
      <c r="F763" s="27"/>
      <c r="G763" s="28" t="str">
        <f t="shared" si="0"/>
        <v/>
      </c>
      <c r="H763" s="28" t="str">
        <f t="array" ref="H763">IF(F763="","",INDEX(Cripto!$A$1:$A$12,G763))</f>
        <v/>
      </c>
    </row>
    <row r="764" spans="2:8">
      <c r="B764" s="12"/>
      <c r="C764" s="16"/>
      <c r="D764" s="18"/>
      <c r="E764" s="19"/>
      <c r="F764" s="21"/>
      <c r="G764" s="22" t="str">
        <f t="shared" si="0"/>
        <v/>
      </c>
      <c r="H764" s="22" t="str">
        <f t="array" ref="H764">IF(F764="","",INDEX(Cripto!$A$1:$A$12,G764))</f>
        <v/>
      </c>
    </row>
    <row r="765" spans="2:8">
      <c r="B765" s="25"/>
      <c r="C765" s="16"/>
      <c r="D765" s="18"/>
      <c r="E765" s="26"/>
      <c r="F765" s="27"/>
      <c r="G765" s="28" t="str">
        <f t="shared" si="0"/>
        <v/>
      </c>
      <c r="H765" s="28" t="str">
        <f t="array" ref="H765">IF(F765="","",INDEX(Cripto!$A$1:$A$12,G765))</f>
        <v/>
      </c>
    </row>
    <row r="766" spans="2:8">
      <c r="B766" s="12"/>
      <c r="C766" s="16"/>
      <c r="D766" s="18"/>
      <c r="E766" s="19"/>
      <c r="F766" s="21"/>
      <c r="G766" s="22" t="str">
        <f t="shared" si="0"/>
        <v/>
      </c>
      <c r="H766" s="22" t="str">
        <f t="array" ref="H766">IF(F766="","",INDEX(Cripto!$A$1:$A$12,G766))</f>
        <v/>
      </c>
    </row>
    <row r="767" spans="2:8">
      <c r="B767" s="25"/>
      <c r="C767" s="16"/>
      <c r="D767" s="18"/>
      <c r="E767" s="26"/>
      <c r="F767" s="27"/>
      <c r="G767" s="28" t="str">
        <f t="shared" si="0"/>
        <v/>
      </c>
      <c r="H767" s="28" t="str">
        <f t="array" ref="H767">IF(F767="","",INDEX(Cripto!$A$1:$A$12,G767))</f>
        <v/>
      </c>
    </row>
    <row r="768" spans="2:8">
      <c r="B768" s="12"/>
      <c r="C768" s="16"/>
      <c r="D768" s="18"/>
      <c r="E768" s="19"/>
      <c r="F768" s="21"/>
      <c r="G768" s="22" t="str">
        <f t="shared" si="0"/>
        <v/>
      </c>
      <c r="H768" s="22" t="str">
        <f t="array" ref="H768">IF(F768="","",INDEX(Cripto!$A$1:$A$12,G768))</f>
        <v/>
      </c>
    </row>
    <row r="769" spans="2:8">
      <c r="B769" s="25"/>
      <c r="C769" s="16"/>
      <c r="D769" s="18"/>
      <c r="E769" s="26"/>
      <c r="F769" s="27"/>
      <c r="G769" s="28" t="str">
        <f t="shared" si="0"/>
        <v/>
      </c>
      <c r="H769" s="28" t="str">
        <f t="array" ref="H769">IF(F769="","",INDEX(Cripto!$A$1:$A$12,G769))</f>
        <v/>
      </c>
    </row>
    <row r="770" spans="2:8">
      <c r="B770" s="12"/>
      <c r="C770" s="16"/>
      <c r="D770" s="18"/>
      <c r="E770" s="19"/>
      <c r="F770" s="21"/>
      <c r="G770" s="22" t="str">
        <f t="shared" si="0"/>
        <v/>
      </c>
      <c r="H770" s="22" t="str">
        <f t="array" ref="H770">IF(F770="","",INDEX(Cripto!$A$1:$A$12,G770))</f>
        <v/>
      </c>
    </row>
    <row r="771" spans="2:8">
      <c r="B771" s="25"/>
      <c r="C771" s="16"/>
      <c r="D771" s="18"/>
      <c r="E771" s="26"/>
      <c r="F771" s="27"/>
      <c r="G771" s="28" t="str">
        <f t="shared" si="0"/>
        <v/>
      </c>
      <c r="H771" s="28" t="str">
        <f t="array" ref="H771">IF(F771="","",INDEX(Cripto!$A$1:$A$12,G771))</f>
        <v/>
      </c>
    </row>
    <row r="772" spans="2:8">
      <c r="B772" s="12"/>
      <c r="C772" s="16"/>
      <c r="D772" s="18"/>
      <c r="E772" s="19"/>
      <c r="F772" s="21"/>
      <c r="G772" s="22" t="str">
        <f t="shared" si="0"/>
        <v/>
      </c>
      <c r="H772" s="22" t="str">
        <f t="array" ref="H772">IF(F772="","",INDEX(Cripto!$A$1:$A$12,G772))</f>
        <v/>
      </c>
    </row>
    <row r="773" spans="2:8">
      <c r="B773" s="25"/>
      <c r="C773" s="16"/>
      <c r="D773" s="18"/>
      <c r="E773" s="26"/>
      <c r="F773" s="27"/>
      <c r="G773" s="28" t="str">
        <f t="shared" si="0"/>
        <v/>
      </c>
      <c r="H773" s="28" t="str">
        <f t="array" ref="H773">IF(F773="","",INDEX(Cripto!$A$1:$A$12,G773))</f>
        <v/>
      </c>
    </row>
    <row r="774" spans="2:8">
      <c r="B774" s="12"/>
      <c r="C774" s="16"/>
      <c r="D774" s="18"/>
      <c r="E774" s="19"/>
      <c r="F774" s="21"/>
      <c r="G774" s="22" t="str">
        <f t="shared" si="0"/>
        <v/>
      </c>
      <c r="H774" s="22" t="str">
        <f t="array" ref="H774">IF(F774="","",INDEX(Cripto!$A$1:$A$12,G774))</f>
        <v/>
      </c>
    </row>
    <row r="775" spans="2:8">
      <c r="B775" s="25"/>
      <c r="C775" s="16"/>
      <c r="D775" s="18"/>
      <c r="E775" s="26"/>
      <c r="F775" s="27"/>
      <c r="G775" s="28" t="str">
        <f t="shared" si="0"/>
        <v/>
      </c>
      <c r="H775" s="28" t="str">
        <f t="array" ref="H775">IF(F775="","",INDEX(Cripto!$A$1:$A$12,G775))</f>
        <v/>
      </c>
    </row>
    <row r="776" spans="2:8">
      <c r="B776" s="12"/>
      <c r="C776" s="16"/>
      <c r="D776" s="18"/>
      <c r="E776" s="19"/>
      <c r="F776" s="21"/>
      <c r="G776" s="22" t="str">
        <f t="shared" si="0"/>
        <v/>
      </c>
      <c r="H776" s="22" t="str">
        <f t="array" ref="H776">IF(F776="","",INDEX(Cripto!$A$1:$A$12,G776))</f>
        <v/>
      </c>
    </row>
    <row r="777" spans="2:8">
      <c r="B777" s="25"/>
      <c r="C777" s="16"/>
      <c r="D777" s="18"/>
      <c r="E777" s="26"/>
      <c r="F777" s="27"/>
      <c r="G777" s="28" t="str">
        <f t="shared" si="0"/>
        <v/>
      </c>
      <c r="H777" s="28" t="str">
        <f t="array" ref="H777">IF(F777="","",INDEX(Cripto!$A$1:$A$12,G777))</f>
        <v/>
      </c>
    </row>
    <row r="778" spans="2:8">
      <c r="B778" s="12"/>
      <c r="C778" s="16"/>
      <c r="D778" s="18"/>
      <c r="E778" s="19"/>
      <c r="F778" s="21"/>
      <c r="G778" s="22" t="str">
        <f t="shared" si="0"/>
        <v/>
      </c>
      <c r="H778" s="22" t="str">
        <f t="array" ref="H778">IF(F778="","",INDEX(Cripto!$A$1:$A$12,G778))</f>
        <v/>
      </c>
    </row>
    <row r="779" spans="2:8">
      <c r="B779" s="25"/>
      <c r="C779" s="16"/>
      <c r="D779" s="18"/>
      <c r="E779" s="26"/>
      <c r="F779" s="27"/>
      <c r="G779" s="28" t="str">
        <f t="shared" si="0"/>
        <v/>
      </c>
      <c r="H779" s="28" t="str">
        <f t="array" ref="H779">IF(F779="","",INDEX(Cripto!$A$1:$A$12,G779))</f>
        <v/>
      </c>
    </row>
    <row r="780" spans="2:8">
      <c r="B780" s="12"/>
      <c r="C780" s="16"/>
      <c r="D780" s="18"/>
      <c r="E780" s="19"/>
      <c r="F780" s="21"/>
      <c r="G780" s="22" t="str">
        <f t="shared" si="0"/>
        <v/>
      </c>
      <c r="H780" s="22" t="str">
        <f t="array" ref="H780">IF(F780="","",INDEX(Cripto!$A$1:$A$12,G780))</f>
        <v/>
      </c>
    </row>
    <row r="781" spans="2:8">
      <c r="B781" s="25"/>
      <c r="C781" s="16"/>
      <c r="D781" s="18"/>
      <c r="E781" s="26"/>
      <c r="F781" s="27"/>
      <c r="G781" s="28" t="str">
        <f t="shared" si="0"/>
        <v/>
      </c>
      <c r="H781" s="28" t="str">
        <f t="array" ref="H781">IF(F781="","",INDEX(Cripto!$A$1:$A$12,G781))</f>
        <v/>
      </c>
    </row>
    <row r="782" spans="2:8">
      <c r="B782" s="12"/>
      <c r="C782" s="16"/>
      <c r="D782" s="18"/>
      <c r="E782" s="19"/>
      <c r="F782" s="21"/>
      <c r="G782" s="22" t="str">
        <f t="shared" si="0"/>
        <v/>
      </c>
      <c r="H782" s="22" t="str">
        <f t="array" ref="H782">IF(F782="","",INDEX(Cripto!$A$1:$A$12,G782))</f>
        <v/>
      </c>
    </row>
    <row r="783" spans="2:8">
      <c r="B783" s="25"/>
      <c r="C783" s="16"/>
      <c r="D783" s="18"/>
      <c r="E783" s="26"/>
      <c r="F783" s="27"/>
      <c r="G783" s="28" t="str">
        <f t="shared" si="0"/>
        <v/>
      </c>
      <c r="H783" s="28" t="str">
        <f t="array" ref="H783">IF(F783="","",INDEX(Cripto!$A$1:$A$12,G783))</f>
        <v/>
      </c>
    </row>
    <row r="784" spans="2:8">
      <c r="B784" s="12"/>
      <c r="C784" s="16"/>
      <c r="D784" s="18"/>
      <c r="E784" s="19"/>
      <c r="F784" s="21"/>
      <c r="G784" s="22" t="str">
        <f t="shared" si="0"/>
        <v/>
      </c>
      <c r="H784" s="22" t="str">
        <f t="array" ref="H784">IF(F784="","",INDEX(Cripto!$A$1:$A$12,G784))</f>
        <v/>
      </c>
    </row>
    <row r="785" spans="2:8">
      <c r="B785" s="25"/>
      <c r="C785" s="16"/>
      <c r="D785" s="18"/>
      <c r="E785" s="26"/>
      <c r="F785" s="27"/>
      <c r="G785" s="28" t="str">
        <f t="shared" si="0"/>
        <v/>
      </c>
      <c r="H785" s="28" t="str">
        <f t="array" ref="H785">IF(F785="","",INDEX(Cripto!$A$1:$A$12,G785))</f>
        <v/>
      </c>
    </row>
    <row r="786" spans="2:8">
      <c r="B786" s="12"/>
      <c r="C786" s="16"/>
      <c r="D786" s="18"/>
      <c r="E786" s="19"/>
      <c r="F786" s="21"/>
      <c r="G786" s="22" t="str">
        <f t="shared" si="0"/>
        <v/>
      </c>
      <c r="H786" s="22" t="str">
        <f t="array" ref="H786">IF(F786="","",INDEX(Cripto!$A$1:$A$12,G786))</f>
        <v/>
      </c>
    </row>
    <row r="787" spans="2:8">
      <c r="B787" s="25"/>
      <c r="C787" s="16"/>
      <c r="D787" s="18"/>
      <c r="E787" s="26"/>
      <c r="F787" s="27"/>
      <c r="G787" s="28" t="str">
        <f t="shared" si="0"/>
        <v/>
      </c>
      <c r="H787" s="28" t="str">
        <f t="array" ref="H787">IF(F787="","",INDEX(Cripto!$A$1:$A$12,G787))</f>
        <v/>
      </c>
    </row>
    <row r="788" spans="2:8">
      <c r="B788" s="12"/>
      <c r="C788" s="16"/>
      <c r="D788" s="18"/>
      <c r="E788" s="19"/>
      <c r="F788" s="21"/>
      <c r="G788" s="22" t="str">
        <f t="shared" si="0"/>
        <v/>
      </c>
      <c r="H788" s="22" t="str">
        <f t="array" ref="H788">IF(F788="","",INDEX(Cripto!$A$1:$A$12,G788))</f>
        <v/>
      </c>
    </row>
    <row r="789" spans="2:8">
      <c r="B789" s="25"/>
      <c r="C789" s="16"/>
      <c r="D789" s="18"/>
      <c r="E789" s="26"/>
      <c r="F789" s="27"/>
      <c r="G789" s="28" t="str">
        <f t="shared" si="0"/>
        <v/>
      </c>
      <c r="H789" s="28" t="str">
        <f t="array" ref="H789">IF(F789="","",INDEX(Cripto!$A$1:$A$12,G789))</f>
        <v/>
      </c>
    </row>
    <row r="790" spans="2:8">
      <c r="B790" s="12"/>
      <c r="C790" s="16"/>
      <c r="D790" s="18"/>
      <c r="E790" s="19"/>
      <c r="F790" s="21"/>
      <c r="G790" s="22" t="str">
        <f t="shared" si="0"/>
        <v/>
      </c>
      <c r="H790" s="22" t="str">
        <f t="array" ref="H790">IF(F790="","",INDEX(Cripto!$A$1:$A$12,G790))</f>
        <v/>
      </c>
    </row>
    <row r="791" spans="2:8">
      <c r="B791" s="25"/>
      <c r="C791" s="16"/>
      <c r="D791" s="18"/>
      <c r="E791" s="26"/>
      <c r="F791" s="27"/>
      <c r="G791" s="28" t="str">
        <f t="shared" si="0"/>
        <v/>
      </c>
      <c r="H791" s="28" t="str">
        <f t="array" ref="H791">IF(F791="","",INDEX(Cripto!$A$1:$A$12,G791))</f>
        <v/>
      </c>
    </row>
    <row r="792" spans="2:8">
      <c r="B792" s="12"/>
      <c r="C792" s="16"/>
      <c r="D792" s="18"/>
      <c r="E792" s="19"/>
      <c r="F792" s="21"/>
      <c r="G792" s="22" t="str">
        <f t="shared" si="0"/>
        <v/>
      </c>
      <c r="H792" s="22" t="str">
        <f t="array" ref="H792">IF(F792="","",INDEX(Cripto!$A$1:$A$12,G792))</f>
        <v/>
      </c>
    </row>
    <row r="793" spans="2:8">
      <c r="B793" s="25"/>
      <c r="C793" s="16"/>
      <c r="D793" s="18"/>
      <c r="E793" s="26"/>
      <c r="F793" s="27"/>
      <c r="G793" s="28" t="str">
        <f t="shared" si="0"/>
        <v/>
      </c>
      <c r="H793" s="28" t="str">
        <f t="array" ref="H793">IF(F793="","",INDEX(Cripto!$A$1:$A$12,G793))</f>
        <v/>
      </c>
    </row>
    <row r="794" spans="2:8">
      <c r="B794" s="12"/>
      <c r="C794" s="16"/>
      <c r="D794" s="18"/>
      <c r="E794" s="19"/>
      <c r="F794" s="21"/>
      <c r="G794" s="22" t="str">
        <f t="shared" si="0"/>
        <v/>
      </c>
      <c r="H794" s="22" t="str">
        <f t="array" ref="H794">IF(F794="","",INDEX(Cripto!$A$1:$A$12,G794))</f>
        <v/>
      </c>
    </row>
    <row r="795" spans="2:8">
      <c r="B795" s="25"/>
      <c r="C795" s="16"/>
      <c r="D795" s="18"/>
      <c r="E795" s="26"/>
      <c r="F795" s="27"/>
      <c r="G795" s="28" t="str">
        <f t="shared" si="0"/>
        <v/>
      </c>
      <c r="H795" s="28" t="str">
        <f t="array" ref="H795">IF(F795="","",INDEX(Cripto!$A$1:$A$12,G795))</f>
        <v/>
      </c>
    </row>
    <row r="796" spans="2:8">
      <c r="B796" s="12"/>
      <c r="C796" s="16"/>
      <c r="D796" s="18"/>
      <c r="E796" s="19"/>
      <c r="F796" s="21"/>
      <c r="G796" s="22" t="str">
        <f t="shared" si="0"/>
        <v/>
      </c>
      <c r="H796" s="22" t="str">
        <f t="array" ref="H796">IF(F796="","",INDEX(Cripto!$A$1:$A$12,G796))</f>
        <v/>
      </c>
    </row>
    <row r="797" spans="2:8">
      <c r="B797" s="25"/>
      <c r="C797" s="16"/>
      <c r="D797" s="18"/>
      <c r="E797" s="26"/>
      <c r="F797" s="27"/>
      <c r="G797" s="28" t="str">
        <f t="shared" si="0"/>
        <v/>
      </c>
      <c r="H797" s="28" t="str">
        <f t="array" ref="H797">IF(F797="","",INDEX(Cripto!$A$1:$A$12,G797))</f>
        <v/>
      </c>
    </row>
    <row r="798" spans="2:8">
      <c r="B798" s="12"/>
      <c r="C798" s="16"/>
      <c r="D798" s="18"/>
      <c r="E798" s="19"/>
      <c r="F798" s="21"/>
      <c r="G798" s="22" t="str">
        <f t="shared" si="0"/>
        <v/>
      </c>
      <c r="H798" s="22" t="str">
        <f t="array" ref="H798">IF(F798="","",INDEX(Cripto!$A$1:$A$12,G798))</f>
        <v/>
      </c>
    </row>
    <row r="799" spans="2:8">
      <c r="B799" s="25"/>
      <c r="C799" s="16"/>
      <c r="D799" s="18"/>
      <c r="E799" s="26"/>
      <c r="F799" s="27"/>
      <c r="G799" s="28" t="str">
        <f t="shared" si="0"/>
        <v/>
      </c>
      <c r="H799" s="28" t="str">
        <f t="array" ref="H799">IF(F799="","",INDEX(Cripto!$A$1:$A$12,G799))</f>
        <v/>
      </c>
    </row>
    <row r="800" spans="2:8">
      <c r="B800" s="12"/>
      <c r="C800" s="16"/>
      <c r="D800" s="18"/>
      <c r="E800" s="19"/>
      <c r="F800" s="21"/>
      <c r="G800" s="22" t="str">
        <f t="shared" si="0"/>
        <v/>
      </c>
      <c r="H800" s="22" t="str">
        <f t="array" ref="H800">IF(F800="","",INDEX(Cripto!$A$1:$A$12,G800))</f>
        <v/>
      </c>
    </row>
    <row r="801" spans="2:8">
      <c r="B801" s="25"/>
      <c r="C801" s="16"/>
      <c r="D801" s="18"/>
      <c r="E801" s="26"/>
      <c r="F801" s="27"/>
      <c r="G801" s="28" t="str">
        <f t="shared" si="0"/>
        <v/>
      </c>
      <c r="H801" s="28" t="str">
        <f t="array" ref="H801">IF(F801="","",INDEX(Cripto!$A$1:$A$12,G801))</f>
        <v/>
      </c>
    </row>
    <row r="802" spans="2:8">
      <c r="B802" s="12"/>
      <c r="C802" s="16"/>
      <c r="D802" s="18"/>
      <c r="E802" s="19"/>
      <c r="F802" s="21"/>
      <c r="G802" s="22" t="str">
        <f t="shared" si="0"/>
        <v/>
      </c>
      <c r="H802" s="22" t="str">
        <f t="array" ref="H802">IF(F802="","",INDEX(Cripto!$A$1:$A$12,G802))</f>
        <v/>
      </c>
    </row>
    <row r="803" spans="2:8">
      <c r="B803" s="25"/>
      <c r="C803" s="16"/>
      <c r="D803" s="18"/>
      <c r="E803" s="26"/>
      <c r="F803" s="27"/>
      <c r="G803" s="28" t="str">
        <f t="shared" si="0"/>
        <v/>
      </c>
      <c r="H803" s="28" t="str">
        <f t="array" ref="H803">IF(F803="","",INDEX(Cripto!$A$1:$A$12,G803))</f>
        <v/>
      </c>
    </row>
    <row r="804" spans="2:8">
      <c r="B804" s="12"/>
      <c r="C804" s="16"/>
      <c r="D804" s="18"/>
      <c r="E804" s="19"/>
      <c r="F804" s="21"/>
      <c r="G804" s="22" t="str">
        <f t="shared" si="0"/>
        <v/>
      </c>
      <c r="H804" s="22" t="str">
        <f t="array" ref="H804">IF(F804="","",INDEX(Cripto!$A$1:$A$12,G804))</f>
        <v/>
      </c>
    </row>
    <row r="805" spans="2:8">
      <c r="B805" s="25"/>
      <c r="C805" s="16"/>
      <c r="D805" s="18"/>
      <c r="E805" s="26"/>
      <c r="F805" s="27"/>
      <c r="G805" s="28" t="str">
        <f t="shared" si="0"/>
        <v/>
      </c>
      <c r="H805" s="28" t="str">
        <f t="array" ref="H805">IF(F805="","",INDEX(Cripto!$A$1:$A$12,G805))</f>
        <v/>
      </c>
    </row>
    <row r="806" spans="2:8">
      <c r="B806" s="12"/>
      <c r="C806" s="16"/>
      <c r="D806" s="18"/>
      <c r="E806" s="19"/>
      <c r="F806" s="21"/>
      <c r="G806" s="22" t="str">
        <f t="shared" si="0"/>
        <v/>
      </c>
      <c r="H806" s="22" t="str">
        <f t="array" ref="H806">IF(F806="","",INDEX(Cripto!$A$1:$A$12,G806))</f>
        <v/>
      </c>
    </row>
    <row r="807" spans="2:8">
      <c r="B807" s="25"/>
      <c r="C807" s="16"/>
      <c r="D807" s="18"/>
      <c r="E807" s="26"/>
      <c r="F807" s="27"/>
      <c r="G807" s="28" t="str">
        <f t="shared" si="0"/>
        <v/>
      </c>
      <c r="H807" s="28" t="str">
        <f t="array" ref="H807">IF(F807="","",INDEX(Cripto!$A$1:$A$12,G807))</f>
        <v/>
      </c>
    </row>
    <row r="808" spans="2:8">
      <c r="B808" s="12"/>
      <c r="C808" s="16"/>
      <c r="D808" s="18"/>
      <c r="E808" s="19"/>
      <c r="F808" s="21"/>
      <c r="G808" s="22" t="str">
        <f t="shared" si="0"/>
        <v/>
      </c>
      <c r="H808" s="22" t="str">
        <f t="array" ref="H808">IF(F808="","",INDEX(Cripto!$A$1:$A$12,G808))</f>
        <v/>
      </c>
    </row>
    <row r="809" spans="2:8">
      <c r="B809" s="25"/>
      <c r="C809" s="16"/>
      <c r="D809" s="18"/>
      <c r="E809" s="26"/>
      <c r="F809" s="27"/>
      <c r="G809" s="28" t="str">
        <f t="shared" si="0"/>
        <v/>
      </c>
      <c r="H809" s="28" t="str">
        <f t="array" ref="H809">IF(F809="","",INDEX(Cripto!$A$1:$A$12,G809))</f>
        <v/>
      </c>
    </row>
    <row r="810" spans="2:8">
      <c r="B810" s="12"/>
      <c r="C810" s="16"/>
      <c r="D810" s="18"/>
      <c r="E810" s="19"/>
      <c r="F810" s="21"/>
      <c r="G810" s="22" t="str">
        <f t="shared" si="0"/>
        <v/>
      </c>
      <c r="H810" s="22" t="str">
        <f t="array" ref="H810">IF(F810="","",INDEX(Cripto!$A$1:$A$12,G810))</f>
        <v/>
      </c>
    </row>
    <row r="811" spans="2:8">
      <c r="B811" s="25"/>
      <c r="C811" s="16"/>
      <c r="D811" s="18"/>
      <c r="E811" s="26"/>
      <c r="F811" s="27"/>
      <c r="G811" s="28" t="str">
        <f t="shared" si="0"/>
        <v/>
      </c>
      <c r="H811" s="28" t="str">
        <f t="array" ref="H811">IF(F811="","",INDEX(Cripto!$A$1:$A$12,G811))</f>
        <v/>
      </c>
    </row>
    <row r="812" spans="2:8">
      <c r="B812" s="12"/>
      <c r="C812" s="16"/>
      <c r="D812" s="18"/>
      <c r="E812" s="19"/>
      <c r="F812" s="21"/>
      <c r="G812" s="22" t="str">
        <f t="shared" si="0"/>
        <v/>
      </c>
      <c r="H812" s="22" t="str">
        <f t="array" ref="H812">IF(F812="","",INDEX(Cripto!$A$1:$A$12,G812))</f>
        <v/>
      </c>
    </row>
    <row r="813" spans="2:8">
      <c r="B813" s="25"/>
      <c r="C813" s="16"/>
      <c r="D813" s="18"/>
      <c r="E813" s="26"/>
      <c r="F813" s="27"/>
      <c r="G813" s="28" t="str">
        <f t="shared" si="0"/>
        <v/>
      </c>
      <c r="H813" s="28" t="str">
        <f t="array" ref="H813">IF(F813="","",INDEX(Cripto!$A$1:$A$12,G813))</f>
        <v/>
      </c>
    </row>
    <row r="814" spans="2:8">
      <c r="B814" s="12"/>
      <c r="C814" s="16"/>
      <c r="D814" s="18"/>
      <c r="E814" s="19"/>
      <c r="F814" s="21"/>
      <c r="G814" s="22" t="str">
        <f t="shared" si="0"/>
        <v/>
      </c>
      <c r="H814" s="22" t="str">
        <f t="array" ref="H814">IF(F814="","",INDEX(Cripto!$A$1:$A$12,G814))</f>
        <v/>
      </c>
    </row>
    <row r="815" spans="2:8">
      <c r="B815" s="25"/>
      <c r="C815" s="16"/>
      <c r="D815" s="18"/>
      <c r="E815" s="26"/>
      <c r="F815" s="27"/>
      <c r="G815" s="28" t="str">
        <f t="shared" si="0"/>
        <v/>
      </c>
      <c r="H815" s="28" t="str">
        <f t="array" ref="H815">IF(F815="","",INDEX(Cripto!$A$1:$A$12,G815))</f>
        <v/>
      </c>
    </row>
    <row r="816" spans="2:8">
      <c r="B816" s="12"/>
      <c r="C816" s="16"/>
      <c r="D816" s="18"/>
      <c r="E816" s="19"/>
      <c r="F816" s="21"/>
      <c r="G816" s="22" t="str">
        <f t="shared" si="0"/>
        <v/>
      </c>
      <c r="H816" s="22" t="str">
        <f t="array" ref="H816">IF(F816="","",INDEX(Cripto!$A$1:$A$12,G816))</f>
        <v/>
      </c>
    </row>
    <row r="817" spans="2:8">
      <c r="B817" s="25"/>
      <c r="C817" s="16"/>
      <c r="D817" s="18"/>
      <c r="E817" s="26"/>
      <c r="F817" s="27"/>
      <c r="G817" s="28" t="str">
        <f t="shared" si="0"/>
        <v/>
      </c>
      <c r="H817" s="28" t="str">
        <f t="array" ref="H817">IF(F817="","",INDEX(Cripto!$A$1:$A$12,G817))</f>
        <v/>
      </c>
    </row>
    <row r="818" spans="2:8">
      <c r="B818" s="12"/>
      <c r="C818" s="16"/>
      <c r="D818" s="18"/>
      <c r="E818" s="19"/>
      <c r="F818" s="21"/>
      <c r="G818" s="22" t="str">
        <f t="shared" si="0"/>
        <v/>
      </c>
      <c r="H818" s="22" t="str">
        <f t="array" ref="H818">IF(F818="","",INDEX(Cripto!$A$1:$A$12,G818))</f>
        <v/>
      </c>
    </row>
    <row r="819" spans="2:8">
      <c r="B819" s="25"/>
      <c r="C819" s="16"/>
      <c r="D819" s="18"/>
      <c r="E819" s="26"/>
      <c r="F819" s="27"/>
      <c r="G819" s="28" t="str">
        <f t="shared" si="0"/>
        <v/>
      </c>
      <c r="H819" s="28" t="str">
        <f t="array" ref="H819">IF(F819="","",INDEX(Cripto!$A$1:$A$12,G819))</f>
        <v/>
      </c>
    </row>
    <row r="820" spans="2:8">
      <c r="B820" s="12"/>
      <c r="C820" s="16"/>
      <c r="D820" s="18"/>
      <c r="E820" s="19"/>
      <c r="F820" s="21"/>
      <c r="G820" s="22" t="str">
        <f t="shared" si="0"/>
        <v/>
      </c>
      <c r="H820" s="22" t="str">
        <f t="array" ref="H820">IF(F820="","",INDEX(Cripto!$A$1:$A$12,G820))</f>
        <v/>
      </c>
    </row>
    <row r="821" spans="2:8">
      <c r="B821" s="25"/>
      <c r="C821" s="16"/>
      <c r="D821" s="18"/>
      <c r="E821" s="26"/>
      <c r="F821" s="27"/>
      <c r="G821" s="28" t="str">
        <f t="shared" si="0"/>
        <v/>
      </c>
      <c r="H821" s="28" t="str">
        <f t="array" ref="H821">IF(F821="","",INDEX(Cripto!$A$1:$A$12,G821))</f>
        <v/>
      </c>
    </row>
    <row r="822" spans="2:8">
      <c r="B822" s="12"/>
      <c r="C822" s="16"/>
      <c r="D822" s="18"/>
      <c r="E822" s="19"/>
      <c r="F822" s="21"/>
      <c r="G822" s="22" t="str">
        <f t="shared" si="0"/>
        <v/>
      </c>
      <c r="H822" s="22" t="str">
        <f t="array" ref="H822">IF(F822="","",INDEX(Cripto!$A$1:$A$12,G822))</f>
        <v/>
      </c>
    </row>
    <row r="823" spans="2:8">
      <c r="B823" s="25"/>
      <c r="C823" s="16"/>
      <c r="D823" s="18"/>
      <c r="E823" s="26"/>
      <c r="F823" s="27"/>
      <c r="G823" s="28" t="str">
        <f t="shared" si="0"/>
        <v/>
      </c>
      <c r="H823" s="28" t="str">
        <f t="array" ref="H823">IF(F823="","",INDEX(Cripto!$A$1:$A$12,G823))</f>
        <v/>
      </c>
    </row>
    <row r="824" spans="2:8">
      <c r="B824" s="12"/>
      <c r="C824" s="16"/>
      <c r="D824" s="18"/>
      <c r="E824" s="19"/>
      <c r="F824" s="21"/>
      <c r="G824" s="22" t="str">
        <f t="shared" si="0"/>
        <v/>
      </c>
      <c r="H824" s="22" t="str">
        <f t="array" ref="H824">IF(F824="","",INDEX(Cripto!$A$1:$A$12,G824))</f>
        <v/>
      </c>
    </row>
    <row r="825" spans="2:8">
      <c r="B825" s="25"/>
      <c r="C825" s="16"/>
      <c r="D825" s="18"/>
      <c r="E825" s="26"/>
      <c r="F825" s="27"/>
      <c r="G825" s="28" t="str">
        <f t="shared" si="0"/>
        <v/>
      </c>
      <c r="H825" s="28" t="str">
        <f t="array" ref="H825">IF(F825="","",INDEX(Cripto!$A$1:$A$12,G825))</f>
        <v/>
      </c>
    </row>
    <row r="826" spans="2:8">
      <c r="B826" s="12"/>
      <c r="C826" s="16"/>
      <c r="D826" s="18"/>
      <c r="E826" s="19"/>
      <c r="F826" s="21"/>
      <c r="G826" s="22" t="str">
        <f t="shared" si="0"/>
        <v/>
      </c>
      <c r="H826" s="22" t="str">
        <f t="array" ref="H826">IF(F826="","",INDEX(Cripto!$A$1:$A$12,G826))</f>
        <v/>
      </c>
    </row>
    <row r="827" spans="2:8">
      <c r="B827" s="25"/>
      <c r="C827" s="16"/>
      <c r="D827" s="18"/>
      <c r="E827" s="26"/>
      <c r="F827" s="27"/>
      <c r="G827" s="28" t="str">
        <f t="shared" si="0"/>
        <v/>
      </c>
      <c r="H827" s="28" t="str">
        <f t="array" ref="H827">IF(F827="","",INDEX(Cripto!$A$1:$A$12,G827))</f>
        <v/>
      </c>
    </row>
    <row r="828" spans="2:8">
      <c r="B828" s="12"/>
      <c r="C828" s="16"/>
      <c r="D828" s="18"/>
      <c r="E828" s="19"/>
      <c r="F828" s="21"/>
      <c r="G828" s="22" t="str">
        <f t="shared" si="0"/>
        <v/>
      </c>
      <c r="H828" s="22" t="str">
        <f t="array" ref="H828">IF(F828="","",INDEX(Cripto!$A$1:$A$12,G828))</f>
        <v/>
      </c>
    </row>
    <row r="829" spans="2:8">
      <c r="B829" s="25"/>
      <c r="C829" s="16"/>
      <c r="D829" s="18"/>
      <c r="E829" s="26"/>
      <c r="F829" s="27"/>
      <c r="G829" s="28" t="str">
        <f t="shared" si="0"/>
        <v/>
      </c>
      <c r="H829" s="28" t="str">
        <f t="array" ref="H829">IF(F829="","",INDEX(Cripto!$A$1:$A$12,G829))</f>
        <v/>
      </c>
    </row>
    <row r="830" spans="2:8">
      <c r="B830" s="12"/>
      <c r="C830" s="16"/>
      <c r="D830" s="18"/>
      <c r="E830" s="19"/>
      <c r="F830" s="21"/>
      <c r="G830" s="22" t="str">
        <f t="shared" si="0"/>
        <v/>
      </c>
      <c r="H830" s="22" t="str">
        <f t="array" ref="H830">IF(F830="","",INDEX(Cripto!$A$1:$A$12,G830))</f>
        <v/>
      </c>
    </row>
    <row r="831" spans="2:8">
      <c r="B831" s="25"/>
      <c r="C831" s="16"/>
      <c r="D831" s="18"/>
      <c r="E831" s="26"/>
      <c r="F831" s="27"/>
      <c r="G831" s="28" t="str">
        <f t="shared" si="0"/>
        <v/>
      </c>
      <c r="H831" s="28" t="str">
        <f t="array" ref="H831">IF(F831="","",INDEX(Cripto!$A$1:$A$12,G831))</f>
        <v/>
      </c>
    </row>
    <row r="832" spans="2:8">
      <c r="B832" s="12"/>
      <c r="C832" s="16"/>
      <c r="D832" s="18"/>
      <c r="E832" s="19"/>
      <c r="F832" s="21"/>
      <c r="G832" s="22" t="str">
        <f t="shared" si="0"/>
        <v/>
      </c>
      <c r="H832" s="22" t="str">
        <f t="array" ref="H832">IF(F832="","",INDEX(Cripto!$A$1:$A$12,G832))</f>
        <v/>
      </c>
    </row>
    <row r="833" spans="2:8">
      <c r="B833" s="25"/>
      <c r="C833" s="16"/>
      <c r="D833" s="18"/>
      <c r="E833" s="26"/>
      <c r="F833" s="27"/>
      <c r="G833" s="28" t="str">
        <f t="shared" si="0"/>
        <v/>
      </c>
      <c r="H833" s="28" t="str">
        <f t="array" ref="H833">IF(F833="","",INDEX(Cripto!$A$1:$A$12,G833))</f>
        <v/>
      </c>
    </row>
    <row r="834" spans="2:8">
      <c r="B834" s="12"/>
      <c r="C834" s="16"/>
      <c r="D834" s="18"/>
      <c r="E834" s="19"/>
      <c r="F834" s="21"/>
      <c r="G834" s="22" t="str">
        <f t="shared" si="0"/>
        <v/>
      </c>
      <c r="H834" s="22" t="str">
        <f t="array" ref="H834">IF(F834="","",INDEX(Cripto!$A$1:$A$12,G834))</f>
        <v/>
      </c>
    </row>
    <row r="835" spans="2:8">
      <c r="B835" s="25"/>
      <c r="C835" s="16"/>
      <c r="D835" s="18"/>
      <c r="E835" s="26"/>
      <c r="F835" s="27"/>
      <c r="G835" s="28" t="str">
        <f t="shared" si="0"/>
        <v/>
      </c>
      <c r="H835" s="28" t="str">
        <f t="array" ref="H835">IF(F835="","",INDEX(Cripto!$A$1:$A$12,G835))</f>
        <v/>
      </c>
    </row>
    <row r="836" spans="2:8">
      <c r="B836" s="12"/>
      <c r="C836" s="16"/>
      <c r="D836" s="18"/>
      <c r="E836" s="19"/>
      <c r="F836" s="21"/>
      <c r="G836" s="22" t="str">
        <f t="shared" si="0"/>
        <v/>
      </c>
      <c r="H836" s="22" t="str">
        <f t="array" ref="H836">IF(F836="","",INDEX(Cripto!$A$1:$A$12,G836))</f>
        <v/>
      </c>
    </row>
    <row r="837" spans="2:8">
      <c r="B837" s="25"/>
      <c r="C837" s="16"/>
      <c r="D837" s="18"/>
      <c r="E837" s="26"/>
      <c r="F837" s="27"/>
      <c r="G837" s="28" t="str">
        <f t="shared" si="0"/>
        <v/>
      </c>
      <c r="H837" s="28" t="str">
        <f t="array" ref="H837">IF(F837="","",INDEX(Cripto!$A$1:$A$12,G837))</f>
        <v/>
      </c>
    </row>
    <row r="838" spans="2:8">
      <c r="B838" s="12"/>
      <c r="C838" s="16"/>
      <c r="D838" s="18"/>
      <c r="E838" s="19"/>
      <c r="F838" s="21"/>
      <c r="G838" s="22" t="str">
        <f t="shared" si="0"/>
        <v/>
      </c>
      <c r="H838" s="22" t="str">
        <f t="array" ref="H838">IF(F838="","",INDEX(Cripto!$A$1:$A$12,G838))</f>
        <v/>
      </c>
    </row>
    <row r="839" spans="2:8">
      <c r="B839" s="25"/>
      <c r="C839" s="16"/>
      <c r="D839" s="18"/>
      <c r="E839" s="26"/>
      <c r="F839" s="27"/>
      <c r="G839" s="28" t="str">
        <f t="shared" si="0"/>
        <v/>
      </c>
      <c r="H839" s="28" t="str">
        <f t="array" ref="H839">IF(F839="","",INDEX(Cripto!$A$1:$A$12,G839))</f>
        <v/>
      </c>
    </row>
    <row r="840" spans="2:8">
      <c r="B840" s="12"/>
      <c r="C840" s="16"/>
      <c r="D840" s="18"/>
      <c r="E840" s="19"/>
      <c r="F840" s="21"/>
      <c r="G840" s="22" t="str">
        <f t="shared" si="0"/>
        <v/>
      </c>
      <c r="H840" s="22" t="str">
        <f t="array" ref="H840">IF(F840="","",INDEX(Cripto!$A$1:$A$12,G840))</f>
        <v/>
      </c>
    </row>
    <row r="841" spans="2:8">
      <c r="B841" s="25"/>
      <c r="C841" s="16"/>
      <c r="D841" s="18"/>
      <c r="E841" s="26"/>
      <c r="F841" s="27"/>
      <c r="G841" s="28" t="str">
        <f t="shared" si="0"/>
        <v/>
      </c>
      <c r="H841" s="28" t="str">
        <f t="array" ref="H841">IF(F841="","",INDEX(Cripto!$A$1:$A$12,G841))</f>
        <v/>
      </c>
    </row>
    <row r="842" spans="2:8">
      <c r="B842" s="12"/>
      <c r="C842" s="16"/>
      <c r="D842" s="18"/>
      <c r="E842" s="19"/>
      <c r="F842" s="21"/>
      <c r="G842" s="22" t="str">
        <f t="shared" si="0"/>
        <v/>
      </c>
      <c r="H842" s="22" t="str">
        <f t="array" ref="H842">IF(F842="","",INDEX(Cripto!$A$1:$A$12,G842))</f>
        <v/>
      </c>
    </row>
    <row r="843" spans="2:8">
      <c r="B843" s="25"/>
      <c r="C843" s="16"/>
      <c r="D843" s="18"/>
      <c r="E843" s="26"/>
      <c r="F843" s="27"/>
      <c r="G843" s="28" t="str">
        <f t="shared" si="0"/>
        <v/>
      </c>
      <c r="H843" s="28" t="str">
        <f t="array" ref="H843">IF(F843="","",INDEX(Cripto!$A$1:$A$12,G843))</f>
        <v/>
      </c>
    </row>
    <row r="844" spans="2:8">
      <c r="B844" s="12"/>
      <c r="C844" s="16"/>
      <c r="D844" s="18"/>
      <c r="E844" s="19"/>
      <c r="F844" s="21"/>
      <c r="G844" s="22" t="str">
        <f t="shared" si="0"/>
        <v/>
      </c>
      <c r="H844" s="22" t="str">
        <f t="array" ref="H844">IF(F844="","",INDEX(Cripto!$A$1:$A$12,G844))</f>
        <v/>
      </c>
    </row>
    <row r="845" spans="2:8">
      <c r="B845" s="25"/>
      <c r="C845" s="16"/>
      <c r="D845" s="18"/>
      <c r="E845" s="26"/>
      <c r="F845" s="27"/>
      <c r="G845" s="28" t="str">
        <f t="shared" si="0"/>
        <v/>
      </c>
      <c r="H845" s="28" t="str">
        <f t="array" ref="H845">IF(F845="","",INDEX(Cripto!$A$1:$A$12,G845))</f>
        <v/>
      </c>
    </row>
    <row r="846" spans="2:8">
      <c r="B846" s="12"/>
      <c r="C846" s="16"/>
      <c r="D846" s="18"/>
      <c r="E846" s="19"/>
      <c r="F846" s="21"/>
      <c r="G846" s="22" t="str">
        <f t="shared" si="0"/>
        <v/>
      </c>
      <c r="H846" s="22" t="str">
        <f t="array" ref="H846">IF(F846="","",INDEX(Cripto!$A$1:$A$12,G846))</f>
        <v/>
      </c>
    </row>
    <row r="847" spans="2:8">
      <c r="B847" s="25"/>
      <c r="C847" s="16"/>
      <c r="D847" s="18"/>
      <c r="E847" s="26"/>
      <c r="F847" s="27"/>
      <c r="G847" s="28" t="str">
        <f t="shared" si="0"/>
        <v/>
      </c>
      <c r="H847" s="28" t="str">
        <f t="array" ref="H847">IF(F847="","",INDEX(Cripto!$A$1:$A$12,G847))</f>
        <v/>
      </c>
    </row>
    <row r="848" spans="2:8">
      <c r="B848" s="12"/>
      <c r="C848" s="16"/>
      <c r="D848" s="18"/>
      <c r="E848" s="19"/>
      <c r="F848" s="21"/>
      <c r="G848" s="22" t="str">
        <f t="shared" si="0"/>
        <v/>
      </c>
      <c r="H848" s="22" t="str">
        <f t="array" ref="H848">IF(F848="","",INDEX(Cripto!$A$1:$A$12,G848))</f>
        <v/>
      </c>
    </row>
    <row r="849" spans="2:8">
      <c r="B849" s="25"/>
      <c r="C849" s="16"/>
      <c r="D849" s="18"/>
      <c r="E849" s="26"/>
      <c r="F849" s="27"/>
      <c r="G849" s="28" t="str">
        <f t="shared" si="0"/>
        <v/>
      </c>
      <c r="H849" s="28" t="str">
        <f t="array" ref="H849">IF(F849="","",INDEX(Cripto!$A$1:$A$12,G849))</f>
        <v/>
      </c>
    </row>
    <row r="850" spans="2:8">
      <c r="B850" s="12"/>
      <c r="C850" s="16"/>
      <c r="D850" s="18"/>
      <c r="E850" s="19"/>
      <c r="F850" s="21"/>
      <c r="G850" s="22" t="str">
        <f t="shared" si="0"/>
        <v/>
      </c>
      <c r="H850" s="22" t="str">
        <f t="array" ref="H850">IF(F850="","",INDEX(Cripto!$A$1:$A$12,G850))</f>
        <v/>
      </c>
    </row>
    <row r="851" spans="2:8">
      <c r="B851" s="25"/>
      <c r="C851" s="16"/>
      <c r="D851" s="18"/>
      <c r="E851" s="26"/>
      <c r="F851" s="27"/>
      <c r="G851" s="28" t="str">
        <f t="shared" si="0"/>
        <v/>
      </c>
      <c r="H851" s="28" t="str">
        <f t="array" ref="H851">IF(F851="","",INDEX(Cripto!$A$1:$A$12,G851))</f>
        <v/>
      </c>
    </row>
    <row r="852" spans="2:8">
      <c r="B852" s="12"/>
      <c r="C852" s="16"/>
      <c r="D852" s="18"/>
      <c r="E852" s="19"/>
      <c r="F852" s="21"/>
      <c r="G852" s="22" t="str">
        <f t="shared" si="0"/>
        <v/>
      </c>
      <c r="H852" s="22" t="str">
        <f t="array" ref="H852">IF(F852="","",INDEX(Cripto!$A$1:$A$12,G852))</f>
        <v/>
      </c>
    </row>
    <row r="853" spans="2:8">
      <c r="B853" s="25"/>
      <c r="C853" s="16"/>
      <c r="D853" s="18"/>
      <c r="E853" s="26"/>
      <c r="F853" s="27"/>
      <c r="G853" s="28" t="str">
        <f t="shared" si="0"/>
        <v/>
      </c>
      <c r="H853" s="28" t="str">
        <f t="array" ref="H853">IF(F853="","",INDEX(Cripto!$A$1:$A$12,G853))</f>
        <v/>
      </c>
    </row>
    <row r="854" spans="2:8">
      <c r="B854" s="12"/>
      <c r="C854" s="16"/>
      <c r="D854" s="18"/>
      <c r="E854" s="19"/>
      <c r="F854" s="21"/>
      <c r="G854" s="22" t="str">
        <f t="shared" si="0"/>
        <v/>
      </c>
      <c r="H854" s="22" t="str">
        <f t="array" ref="H854">IF(F854="","",INDEX(Cripto!$A$1:$A$12,G854))</f>
        <v/>
      </c>
    </row>
    <row r="855" spans="2:8">
      <c r="B855" s="25"/>
      <c r="C855" s="16"/>
      <c r="D855" s="18"/>
      <c r="E855" s="26"/>
      <c r="F855" s="27"/>
      <c r="G855" s="28" t="str">
        <f t="shared" si="0"/>
        <v/>
      </c>
      <c r="H855" s="28" t="str">
        <f t="array" ref="H855">IF(F855="","",INDEX(Cripto!$A$1:$A$12,G855))</f>
        <v/>
      </c>
    </row>
    <row r="856" spans="2:8">
      <c r="B856" s="12"/>
      <c r="C856" s="16"/>
      <c r="D856" s="18"/>
      <c r="E856" s="19"/>
      <c r="F856" s="21"/>
      <c r="G856" s="22" t="str">
        <f t="shared" si="0"/>
        <v/>
      </c>
      <c r="H856" s="22" t="str">
        <f t="array" ref="H856">IF(F856="","",INDEX(Cripto!$A$1:$A$12,G856))</f>
        <v/>
      </c>
    </row>
    <row r="857" spans="2:8">
      <c r="B857" s="25"/>
      <c r="C857" s="16"/>
      <c r="D857" s="18"/>
      <c r="E857" s="26"/>
      <c r="F857" s="27"/>
      <c r="G857" s="28" t="str">
        <f t="shared" si="0"/>
        <v/>
      </c>
      <c r="H857" s="28" t="str">
        <f t="array" ref="H857">IF(F857="","",INDEX(Cripto!$A$1:$A$12,G857))</f>
        <v/>
      </c>
    </row>
    <row r="858" spans="2:8">
      <c r="B858" s="12"/>
      <c r="C858" s="16"/>
      <c r="D858" s="18"/>
      <c r="E858" s="19"/>
      <c r="F858" s="21"/>
      <c r="G858" s="22" t="str">
        <f t="shared" si="0"/>
        <v/>
      </c>
      <c r="H858" s="22" t="str">
        <f t="array" ref="H858">IF(F858="","",INDEX(Cripto!$A$1:$A$12,G858))</f>
        <v/>
      </c>
    </row>
    <row r="859" spans="2:8">
      <c r="B859" s="25"/>
      <c r="C859" s="16"/>
      <c r="D859" s="18"/>
      <c r="E859" s="26"/>
      <c r="F859" s="27"/>
      <c r="G859" s="28" t="str">
        <f t="shared" si="0"/>
        <v/>
      </c>
      <c r="H859" s="28" t="str">
        <f t="array" ref="H859">IF(F859="","",INDEX(Cripto!$A$1:$A$12,G859))</f>
        <v/>
      </c>
    </row>
    <row r="860" spans="2:8">
      <c r="B860" s="12"/>
      <c r="C860" s="16"/>
      <c r="D860" s="18"/>
      <c r="E860" s="19"/>
      <c r="F860" s="21"/>
      <c r="G860" s="22" t="str">
        <f t="shared" si="0"/>
        <v/>
      </c>
      <c r="H860" s="22" t="str">
        <f t="array" ref="H860">IF(F860="","",INDEX(Cripto!$A$1:$A$12,G860))</f>
        <v/>
      </c>
    </row>
    <row r="861" spans="2:8">
      <c r="B861" s="25"/>
      <c r="C861" s="16"/>
      <c r="D861" s="18"/>
      <c r="E861" s="26"/>
      <c r="F861" s="27"/>
      <c r="G861" s="28" t="str">
        <f t="shared" si="0"/>
        <v/>
      </c>
      <c r="H861" s="28" t="str">
        <f t="array" ref="H861">IF(F861="","",INDEX(Cripto!$A$1:$A$12,G861))</f>
        <v/>
      </c>
    </row>
    <row r="862" spans="2:8">
      <c r="B862" s="12"/>
      <c r="C862" s="16"/>
      <c r="D862" s="18"/>
      <c r="E862" s="19"/>
      <c r="F862" s="21"/>
      <c r="G862" s="22" t="str">
        <f t="shared" si="0"/>
        <v/>
      </c>
      <c r="H862" s="22" t="str">
        <f t="array" ref="H862">IF(F862="","",INDEX(Cripto!$A$1:$A$12,G862))</f>
        <v/>
      </c>
    </row>
    <row r="863" spans="2:8">
      <c r="B863" s="25"/>
      <c r="C863" s="16"/>
      <c r="D863" s="18"/>
      <c r="E863" s="26"/>
      <c r="F863" s="27"/>
      <c r="G863" s="28" t="str">
        <f t="shared" si="0"/>
        <v/>
      </c>
      <c r="H863" s="28" t="str">
        <f t="array" ref="H863">IF(F863="","",INDEX(Cripto!$A$1:$A$12,G863))</f>
        <v/>
      </c>
    </row>
    <row r="864" spans="2:8">
      <c r="B864" s="12"/>
      <c r="C864" s="16"/>
      <c r="D864" s="18"/>
      <c r="E864" s="19"/>
      <c r="F864" s="21"/>
      <c r="G864" s="22" t="str">
        <f t="shared" si="0"/>
        <v/>
      </c>
      <c r="H864" s="22" t="str">
        <f t="array" ref="H864">IF(F864="","",INDEX(Cripto!$A$1:$A$12,G864))</f>
        <v/>
      </c>
    </row>
    <row r="865" spans="2:8">
      <c r="B865" s="25"/>
      <c r="C865" s="16"/>
      <c r="D865" s="18"/>
      <c r="E865" s="26"/>
      <c r="F865" s="27"/>
      <c r="G865" s="28" t="str">
        <f t="shared" si="0"/>
        <v/>
      </c>
      <c r="H865" s="28" t="str">
        <f t="array" ref="H865">IF(F865="","",INDEX(Cripto!$A$1:$A$12,G865))</f>
        <v/>
      </c>
    </row>
    <row r="866" spans="2:8">
      <c r="B866" s="12"/>
      <c r="C866" s="16"/>
      <c r="D866" s="18"/>
      <c r="E866" s="19"/>
      <c r="F866" s="21"/>
      <c r="G866" s="22" t="str">
        <f t="shared" si="0"/>
        <v/>
      </c>
      <c r="H866" s="22" t="str">
        <f t="array" ref="H866">IF(F866="","",INDEX(Cripto!$A$1:$A$12,G866))</f>
        <v/>
      </c>
    </row>
    <row r="867" spans="2:8">
      <c r="B867" s="25"/>
      <c r="C867" s="16"/>
      <c r="D867" s="18"/>
      <c r="E867" s="26"/>
      <c r="F867" s="27"/>
      <c r="G867" s="28" t="str">
        <f t="shared" si="0"/>
        <v/>
      </c>
      <c r="H867" s="28" t="str">
        <f t="array" ref="H867">IF(F867="","",INDEX(Cripto!$A$1:$A$12,G867))</f>
        <v/>
      </c>
    </row>
    <row r="868" spans="2:8">
      <c r="B868" s="12"/>
      <c r="C868" s="16"/>
      <c r="D868" s="18"/>
      <c r="E868" s="19"/>
      <c r="F868" s="21"/>
      <c r="G868" s="22" t="str">
        <f t="shared" si="0"/>
        <v/>
      </c>
      <c r="H868" s="22" t="str">
        <f t="array" ref="H868">IF(F868="","",INDEX(Cripto!$A$1:$A$12,G868))</f>
        <v/>
      </c>
    </row>
    <row r="869" spans="2:8">
      <c r="B869" s="25"/>
      <c r="C869" s="16"/>
      <c r="D869" s="18"/>
      <c r="E869" s="26"/>
      <c r="F869" s="27"/>
      <c r="G869" s="28" t="str">
        <f t="shared" si="0"/>
        <v/>
      </c>
      <c r="H869" s="28" t="str">
        <f t="array" ref="H869">IF(F869="","",INDEX(Cripto!$A$1:$A$12,G869))</f>
        <v/>
      </c>
    </row>
    <row r="870" spans="2:8">
      <c r="B870" s="12"/>
      <c r="C870" s="16"/>
      <c r="D870" s="18"/>
      <c r="E870" s="19"/>
      <c r="F870" s="21"/>
      <c r="G870" s="22" t="str">
        <f t="shared" si="0"/>
        <v/>
      </c>
      <c r="H870" s="22" t="str">
        <f t="array" ref="H870">IF(F870="","",INDEX(Cripto!$A$1:$A$12,G870))</f>
        <v/>
      </c>
    </row>
    <row r="871" spans="2:8">
      <c r="B871" s="25"/>
      <c r="C871" s="16"/>
      <c r="D871" s="18"/>
      <c r="E871" s="26"/>
      <c r="F871" s="27"/>
      <c r="G871" s="28" t="str">
        <f t="shared" si="0"/>
        <v/>
      </c>
      <c r="H871" s="28" t="str">
        <f t="array" ref="H871">IF(F871="","",INDEX(Cripto!$A$1:$A$12,G871))</f>
        <v/>
      </c>
    </row>
    <row r="872" spans="2:8">
      <c r="B872" s="12"/>
      <c r="C872" s="16"/>
      <c r="D872" s="18"/>
      <c r="E872" s="19"/>
      <c r="F872" s="21"/>
      <c r="G872" s="22" t="str">
        <f t="shared" si="0"/>
        <v/>
      </c>
      <c r="H872" s="22" t="str">
        <f t="array" ref="H872">IF(F872="","",INDEX(Cripto!$A$1:$A$12,G872))</f>
        <v/>
      </c>
    </row>
    <row r="873" spans="2:8">
      <c r="B873" s="25"/>
      <c r="C873" s="16"/>
      <c r="D873" s="18"/>
      <c r="E873" s="26"/>
      <c r="F873" s="27"/>
      <c r="G873" s="28" t="str">
        <f t="shared" si="0"/>
        <v/>
      </c>
      <c r="H873" s="28" t="str">
        <f t="array" ref="H873">IF(F873="","",INDEX(Cripto!$A$1:$A$12,G873))</f>
        <v/>
      </c>
    </row>
    <row r="874" spans="2:8">
      <c r="B874" s="12"/>
      <c r="C874" s="16"/>
      <c r="D874" s="18"/>
      <c r="E874" s="19"/>
      <c r="F874" s="21"/>
      <c r="G874" s="22" t="str">
        <f t="shared" si="0"/>
        <v/>
      </c>
      <c r="H874" s="22" t="str">
        <f t="array" ref="H874">IF(F874="","",INDEX(Cripto!$A$1:$A$12,G874))</f>
        <v/>
      </c>
    </row>
    <row r="875" spans="2:8">
      <c r="B875" s="25"/>
      <c r="C875" s="16"/>
      <c r="D875" s="18"/>
      <c r="E875" s="26"/>
      <c r="F875" s="27"/>
      <c r="G875" s="28" t="str">
        <f t="shared" si="0"/>
        <v/>
      </c>
      <c r="H875" s="28" t="str">
        <f t="array" ref="H875">IF(F875="","",INDEX(Cripto!$A$1:$A$12,G875))</f>
        <v/>
      </c>
    </row>
    <row r="876" spans="2:8">
      <c r="B876" s="12"/>
      <c r="C876" s="16"/>
      <c r="D876" s="18"/>
      <c r="E876" s="19"/>
      <c r="F876" s="21"/>
      <c r="G876" s="22" t="str">
        <f t="shared" si="0"/>
        <v/>
      </c>
      <c r="H876" s="22" t="str">
        <f t="array" ref="H876">IF(F876="","",INDEX(Cripto!$A$1:$A$12,G876))</f>
        <v/>
      </c>
    </row>
    <row r="877" spans="2:8">
      <c r="B877" s="25"/>
      <c r="C877" s="16"/>
      <c r="D877" s="18"/>
      <c r="E877" s="26"/>
      <c r="F877" s="27"/>
      <c r="G877" s="28" t="str">
        <f t="shared" si="0"/>
        <v/>
      </c>
      <c r="H877" s="28" t="str">
        <f t="array" ref="H877">IF(F877="","",INDEX(Cripto!$A$1:$A$12,G877))</f>
        <v/>
      </c>
    </row>
    <row r="878" spans="2:8">
      <c r="B878" s="12"/>
      <c r="C878" s="16"/>
      <c r="D878" s="18"/>
      <c r="E878" s="19"/>
      <c r="F878" s="21"/>
      <c r="G878" s="22" t="str">
        <f t="shared" si="0"/>
        <v/>
      </c>
      <c r="H878" s="22" t="str">
        <f t="array" ref="H878">IF(F878="","",INDEX(Cripto!$A$1:$A$12,G878))</f>
        <v/>
      </c>
    </row>
    <row r="879" spans="2:8">
      <c r="B879" s="25"/>
      <c r="C879" s="16"/>
      <c r="D879" s="18"/>
      <c r="E879" s="26"/>
      <c r="F879" s="27"/>
      <c r="G879" s="28" t="str">
        <f t="shared" si="0"/>
        <v/>
      </c>
      <c r="H879" s="28" t="str">
        <f t="array" ref="H879">IF(F879="","",INDEX(Cripto!$A$1:$A$12,G879))</f>
        <v/>
      </c>
    </row>
    <row r="880" spans="2:8">
      <c r="B880" s="12"/>
      <c r="C880" s="16"/>
      <c r="D880" s="18"/>
      <c r="E880" s="19"/>
      <c r="F880" s="21"/>
      <c r="G880" s="22" t="str">
        <f t="shared" si="0"/>
        <v/>
      </c>
      <c r="H880" s="22" t="str">
        <f t="array" ref="H880">IF(F880="","",INDEX(Cripto!$A$1:$A$12,G880))</f>
        <v/>
      </c>
    </row>
    <row r="881" spans="2:8">
      <c r="B881" s="25"/>
      <c r="C881" s="16"/>
      <c r="D881" s="18"/>
      <c r="E881" s="26"/>
      <c r="F881" s="27"/>
      <c r="G881" s="28" t="str">
        <f t="shared" si="0"/>
        <v/>
      </c>
      <c r="H881" s="28" t="str">
        <f t="array" ref="H881">IF(F881="","",INDEX(Cripto!$A$1:$A$12,G881))</f>
        <v/>
      </c>
    </row>
    <row r="882" spans="2:8">
      <c r="B882" s="12"/>
      <c r="C882" s="16"/>
      <c r="D882" s="18"/>
      <c r="E882" s="19"/>
      <c r="F882" s="21"/>
      <c r="G882" s="22" t="str">
        <f t="shared" si="0"/>
        <v/>
      </c>
      <c r="H882" s="22" t="str">
        <f t="array" ref="H882">IF(F882="","",INDEX(Cripto!$A$1:$A$12,G882))</f>
        <v/>
      </c>
    </row>
    <row r="883" spans="2:8">
      <c r="B883" s="25"/>
      <c r="C883" s="16"/>
      <c r="D883" s="18"/>
      <c r="E883" s="26"/>
      <c r="F883" s="27"/>
      <c r="G883" s="28" t="str">
        <f t="shared" si="0"/>
        <v/>
      </c>
      <c r="H883" s="28" t="str">
        <f t="array" ref="H883">IF(F883="","",INDEX(Cripto!$A$1:$A$12,G883))</f>
        <v/>
      </c>
    </row>
    <row r="884" spans="2:8">
      <c r="B884" s="12"/>
      <c r="C884" s="16"/>
      <c r="D884" s="18"/>
      <c r="E884" s="19"/>
      <c r="F884" s="21"/>
      <c r="G884" s="22" t="str">
        <f t="shared" si="0"/>
        <v/>
      </c>
      <c r="H884" s="22" t="str">
        <f t="array" ref="H884">IF(F884="","",INDEX(Cripto!$A$1:$A$12,G884))</f>
        <v/>
      </c>
    </row>
    <row r="885" spans="2:8">
      <c r="B885" s="25"/>
      <c r="C885" s="16"/>
      <c r="D885" s="18"/>
      <c r="E885" s="26"/>
      <c r="F885" s="27"/>
      <c r="G885" s="28" t="str">
        <f t="shared" si="0"/>
        <v/>
      </c>
      <c r="H885" s="28" t="str">
        <f t="array" ref="H885">IF(F885="","",INDEX(Cripto!$A$1:$A$12,G885))</f>
        <v/>
      </c>
    </row>
    <row r="886" spans="2:8">
      <c r="B886" s="12"/>
      <c r="C886" s="16"/>
      <c r="D886" s="18"/>
      <c r="E886" s="19"/>
      <c r="F886" s="21"/>
      <c r="G886" s="22" t="str">
        <f t="shared" si="0"/>
        <v/>
      </c>
      <c r="H886" s="22" t="str">
        <f t="array" ref="H886">IF(F886="","",INDEX(Cripto!$A$1:$A$12,G886))</f>
        <v/>
      </c>
    </row>
    <row r="887" spans="2:8">
      <c r="B887" s="25"/>
      <c r="C887" s="16"/>
      <c r="D887" s="18"/>
      <c r="E887" s="26"/>
      <c r="F887" s="27"/>
      <c r="G887" s="28" t="str">
        <f t="shared" si="0"/>
        <v/>
      </c>
      <c r="H887" s="28" t="str">
        <f t="array" ref="H887">IF(F887="","",INDEX(Cripto!$A$1:$A$12,G887))</f>
        <v/>
      </c>
    </row>
    <row r="888" spans="2:8">
      <c r="B888" s="12"/>
      <c r="C888" s="16"/>
      <c r="D888" s="18"/>
      <c r="E888" s="19"/>
      <c r="F888" s="21"/>
      <c r="G888" s="22" t="str">
        <f t="shared" si="0"/>
        <v/>
      </c>
      <c r="H888" s="22" t="str">
        <f t="array" ref="H888">IF(F888="","",INDEX(Cripto!$A$1:$A$12,G888))</f>
        <v/>
      </c>
    </row>
    <row r="889" spans="2:8">
      <c r="B889" s="25"/>
      <c r="C889" s="16"/>
      <c r="D889" s="18"/>
      <c r="E889" s="26"/>
      <c r="F889" s="27"/>
      <c r="G889" s="28" t="str">
        <f t="shared" si="0"/>
        <v/>
      </c>
      <c r="H889" s="28" t="str">
        <f t="array" ref="H889">IF(F889="","",INDEX(Cripto!$A$1:$A$12,G889))</f>
        <v/>
      </c>
    </row>
    <row r="890" spans="2:8">
      <c r="B890" s="12"/>
      <c r="C890" s="16"/>
      <c r="D890" s="18"/>
      <c r="E890" s="19"/>
      <c r="F890" s="21"/>
      <c r="G890" s="22" t="str">
        <f t="shared" si="0"/>
        <v/>
      </c>
      <c r="H890" s="22" t="str">
        <f t="array" ref="H890">IF(F890="","",INDEX(Cripto!$A$1:$A$12,G890))</f>
        <v/>
      </c>
    </row>
    <row r="891" spans="2:8">
      <c r="B891" s="25"/>
      <c r="C891" s="16"/>
      <c r="D891" s="18"/>
      <c r="E891" s="26"/>
      <c r="F891" s="27"/>
      <c r="G891" s="28" t="str">
        <f t="shared" si="0"/>
        <v/>
      </c>
      <c r="H891" s="28" t="str">
        <f t="array" ref="H891">IF(F891="","",INDEX(Cripto!$A$1:$A$12,G891))</f>
        <v/>
      </c>
    </row>
    <row r="892" spans="2:8">
      <c r="B892" s="12"/>
      <c r="C892" s="16"/>
      <c r="D892" s="18"/>
      <c r="E892" s="19"/>
      <c r="F892" s="21"/>
      <c r="G892" s="22" t="str">
        <f t="shared" si="0"/>
        <v/>
      </c>
      <c r="H892" s="22" t="str">
        <f t="array" ref="H892">IF(F892="","",INDEX(Cripto!$A$1:$A$12,G892))</f>
        <v/>
      </c>
    </row>
    <row r="893" spans="2:8">
      <c r="B893" s="25"/>
      <c r="C893" s="16"/>
      <c r="D893" s="18"/>
      <c r="E893" s="26"/>
      <c r="F893" s="27"/>
      <c r="G893" s="28" t="str">
        <f t="shared" si="0"/>
        <v/>
      </c>
      <c r="H893" s="28" t="str">
        <f t="array" ref="H893">IF(F893="","",INDEX(Cripto!$A$1:$A$12,G893))</f>
        <v/>
      </c>
    </row>
    <row r="894" spans="2:8">
      <c r="B894" s="12"/>
      <c r="C894" s="16"/>
      <c r="D894" s="18"/>
      <c r="E894" s="19"/>
      <c r="F894" s="21"/>
      <c r="G894" s="22" t="str">
        <f t="shared" si="0"/>
        <v/>
      </c>
      <c r="H894" s="22" t="str">
        <f t="array" ref="H894">IF(F894="","",INDEX(Cripto!$A$1:$A$12,G894))</f>
        <v/>
      </c>
    </row>
    <row r="895" spans="2:8">
      <c r="B895" s="25"/>
      <c r="C895" s="16"/>
      <c r="D895" s="18"/>
      <c r="E895" s="26"/>
      <c r="F895" s="27"/>
      <c r="G895" s="28" t="str">
        <f t="shared" si="0"/>
        <v/>
      </c>
      <c r="H895" s="28" t="str">
        <f t="array" ref="H895">IF(F895="","",INDEX(Cripto!$A$1:$A$12,G895))</f>
        <v/>
      </c>
    </row>
    <row r="896" spans="2:8">
      <c r="B896" s="12"/>
      <c r="C896" s="16"/>
      <c r="D896" s="18"/>
      <c r="E896" s="19"/>
      <c r="F896" s="21"/>
      <c r="G896" s="22" t="str">
        <f t="shared" si="0"/>
        <v/>
      </c>
      <c r="H896" s="22" t="str">
        <f t="array" ref="H896">IF(F896="","",INDEX(Cripto!$A$1:$A$12,G896))</f>
        <v/>
      </c>
    </row>
    <row r="897" spans="2:8">
      <c r="B897" s="25"/>
      <c r="C897" s="16"/>
      <c r="D897" s="18"/>
      <c r="E897" s="26"/>
      <c r="F897" s="27"/>
      <c r="G897" s="28" t="str">
        <f t="shared" si="0"/>
        <v/>
      </c>
      <c r="H897" s="28" t="str">
        <f t="array" ref="H897">IF(F897="","",INDEX(Cripto!$A$1:$A$12,G897))</f>
        <v/>
      </c>
    </row>
    <row r="898" spans="2:8">
      <c r="B898" s="12"/>
      <c r="C898" s="16"/>
      <c r="D898" s="18"/>
      <c r="E898" s="19"/>
      <c r="F898" s="21"/>
      <c r="G898" s="22" t="str">
        <f t="shared" si="0"/>
        <v/>
      </c>
      <c r="H898" s="22" t="str">
        <f t="array" ref="H898">IF(F898="","",INDEX(Cripto!$A$1:$A$12,G898))</f>
        <v/>
      </c>
    </row>
    <row r="899" spans="2:8">
      <c r="B899" s="25"/>
      <c r="C899" s="16"/>
      <c r="D899" s="18"/>
      <c r="E899" s="26"/>
      <c r="F899" s="27"/>
      <c r="G899" s="28" t="str">
        <f t="shared" si="0"/>
        <v/>
      </c>
      <c r="H899" s="28" t="str">
        <f t="array" ref="H899">IF(F899="","",INDEX(Cripto!$A$1:$A$12,G899))</f>
        <v/>
      </c>
    </row>
    <row r="900" spans="2:8">
      <c r="B900" s="12"/>
      <c r="C900" s="16"/>
      <c r="D900" s="18"/>
      <c r="E900" s="19"/>
      <c r="F900" s="21"/>
      <c r="G900" s="22" t="str">
        <f t="shared" si="0"/>
        <v/>
      </c>
      <c r="H900" s="22" t="str">
        <f t="array" ref="H900">IF(F900="","",INDEX(Cripto!$A$1:$A$12,G900))</f>
        <v/>
      </c>
    </row>
    <row r="901" spans="2:8">
      <c r="B901" s="25"/>
      <c r="C901" s="16"/>
      <c r="D901" s="18"/>
      <c r="E901" s="26"/>
      <c r="F901" s="27"/>
      <c r="G901" s="28" t="str">
        <f t="shared" si="0"/>
        <v/>
      </c>
      <c r="H901" s="28" t="str">
        <f t="array" ref="H901">IF(F901="","",INDEX(Cripto!$A$1:$A$12,G901))</f>
        <v/>
      </c>
    </row>
    <row r="902" spans="2:8">
      <c r="B902" s="12"/>
      <c r="C902" s="16"/>
      <c r="D902" s="18"/>
      <c r="E902" s="19"/>
      <c r="F902" s="21"/>
      <c r="G902" s="22" t="str">
        <f t="shared" si="0"/>
        <v/>
      </c>
      <c r="H902" s="22" t="str">
        <f t="array" ref="H902">IF(F902="","",INDEX(Cripto!$A$1:$A$12,G902))</f>
        <v/>
      </c>
    </row>
    <row r="903" spans="2:8">
      <c r="B903" s="25"/>
      <c r="C903" s="16"/>
      <c r="D903" s="18"/>
      <c r="E903" s="26"/>
      <c r="F903" s="27"/>
      <c r="G903" s="28" t="str">
        <f t="shared" si="0"/>
        <v/>
      </c>
      <c r="H903" s="28" t="str">
        <f t="array" ref="H903">IF(F903="","",INDEX(Cripto!$A$1:$A$12,G903))</f>
        <v/>
      </c>
    </row>
    <row r="904" spans="2:8">
      <c r="B904" s="12"/>
      <c r="C904" s="16"/>
      <c r="D904" s="18"/>
      <c r="E904" s="19"/>
      <c r="F904" s="21"/>
      <c r="G904" s="22" t="str">
        <f t="shared" si="0"/>
        <v/>
      </c>
      <c r="H904" s="22" t="str">
        <f t="array" ref="H904">IF(F904="","",INDEX(Cripto!$A$1:$A$12,G904))</f>
        <v/>
      </c>
    </row>
    <row r="905" spans="2:8">
      <c r="B905" s="25"/>
      <c r="C905" s="16"/>
      <c r="D905" s="18"/>
      <c r="E905" s="26"/>
      <c r="F905" s="27"/>
      <c r="G905" s="28" t="str">
        <f t="shared" si="0"/>
        <v/>
      </c>
      <c r="H905" s="28" t="str">
        <f t="array" ref="H905">IF(F905="","",INDEX(Cripto!$A$1:$A$12,G905))</f>
        <v/>
      </c>
    </row>
    <row r="906" spans="2:8">
      <c r="B906" s="12"/>
      <c r="C906" s="16"/>
      <c r="D906" s="18"/>
      <c r="E906" s="19"/>
      <c r="F906" s="21"/>
      <c r="G906" s="22" t="str">
        <f t="shared" si="0"/>
        <v/>
      </c>
      <c r="H906" s="22" t="str">
        <f t="array" ref="H906">IF(F906="","",INDEX(Cripto!$A$1:$A$12,G906))</f>
        <v/>
      </c>
    </row>
    <row r="907" spans="2:8">
      <c r="B907" s="25"/>
      <c r="C907" s="16"/>
      <c r="D907" s="18"/>
      <c r="E907" s="26"/>
      <c r="F907" s="27"/>
      <c r="G907" s="28" t="str">
        <f t="shared" si="0"/>
        <v/>
      </c>
      <c r="H907" s="28" t="str">
        <f t="array" ref="H907">IF(F907="","",INDEX(Cripto!$A$1:$A$12,G907))</f>
        <v/>
      </c>
    </row>
    <row r="908" spans="2:8">
      <c r="B908" s="12"/>
      <c r="C908" s="16"/>
      <c r="D908" s="18"/>
      <c r="E908" s="19"/>
      <c r="F908" s="21"/>
      <c r="G908" s="22" t="str">
        <f t="shared" si="0"/>
        <v/>
      </c>
      <c r="H908" s="22" t="str">
        <f t="array" ref="H908">IF(F908="","",INDEX(Cripto!$A$1:$A$12,G908))</f>
        <v/>
      </c>
    </row>
    <row r="909" spans="2:8">
      <c r="B909" s="25"/>
      <c r="C909" s="16"/>
      <c r="D909" s="18"/>
      <c r="E909" s="26"/>
      <c r="F909" s="27"/>
      <c r="G909" s="28" t="str">
        <f t="shared" si="0"/>
        <v/>
      </c>
      <c r="H909" s="28" t="str">
        <f t="array" ref="H909">IF(F909="","",INDEX(Cripto!$A$1:$A$12,G909))</f>
        <v/>
      </c>
    </row>
    <row r="910" spans="2:8">
      <c r="B910" s="12"/>
      <c r="C910" s="16"/>
      <c r="D910" s="18"/>
      <c r="E910" s="19"/>
      <c r="F910" s="21"/>
      <c r="G910" s="22" t="str">
        <f t="shared" si="0"/>
        <v/>
      </c>
      <c r="H910" s="22" t="str">
        <f t="array" ref="H910">IF(F910="","",INDEX(Cripto!$A$1:$A$12,G910))</f>
        <v/>
      </c>
    </row>
    <row r="911" spans="2:8">
      <c r="B911" s="25"/>
      <c r="C911" s="16"/>
      <c r="D911" s="18"/>
      <c r="E911" s="26"/>
      <c r="F911" s="27"/>
      <c r="G911" s="28" t="str">
        <f t="shared" si="0"/>
        <v/>
      </c>
      <c r="H911" s="28" t="str">
        <f t="array" ref="H911">IF(F911="","",INDEX(Cripto!$A$1:$A$12,G911))</f>
        <v/>
      </c>
    </row>
    <row r="912" spans="2:8">
      <c r="B912" s="12"/>
      <c r="C912" s="16"/>
      <c r="D912" s="18"/>
      <c r="E912" s="19"/>
      <c r="F912" s="21"/>
      <c r="G912" s="22" t="str">
        <f t="shared" si="0"/>
        <v/>
      </c>
      <c r="H912" s="22" t="str">
        <f t="array" ref="H912">IF(F912="","",INDEX(Cripto!$A$1:$A$12,G912))</f>
        <v/>
      </c>
    </row>
    <row r="913" spans="2:8">
      <c r="B913" s="25"/>
      <c r="C913" s="16"/>
      <c r="D913" s="18"/>
      <c r="E913" s="26"/>
      <c r="F913" s="27"/>
      <c r="G913" s="28" t="str">
        <f t="shared" si="0"/>
        <v/>
      </c>
      <c r="H913" s="28" t="str">
        <f t="array" ref="H913">IF(F913="","",INDEX(Cripto!$A$1:$A$12,G913))</f>
        <v/>
      </c>
    </row>
    <row r="914" spans="2:8">
      <c r="B914" s="12"/>
      <c r="C914" s="16"/>
      <c r="D914" s="18"/>
      <c r="E914" s="19"/>
      <c r="F914" s="21"/>
      <c r="G914" s="22" t="str">
        <f t="shared" si="0"/>
        <v/>
      </c>
      <c r="H914" s="22" t="str">
        <f t="array" ref="H914">IF(F914="","",INDEX(Cripto!$A$1:$A$12,G914))</f>
        <v/>
      </c>
    </row>
    <row r="915" spans="2:8">
      <c r="B915" s="25"/>
      <c r="C915" s="16"/>
      <c r="D915" s="18"/>
      <c r="E915" s="26"/>
      <c r="F915" s="27"/>
      <c r="G915" s="28" t="str">
        <f t="shared" si="0"/>
        <v/>
      </c>
      <c r="H915" s="28" t="str">
        <f t="array" ref="H915">IF(F915="","",INDEX(Cripto!$A$1:$A$12,G915))</f>
        <v/>
      </c>
    </row>
    <row r="916" spans="2:8">
      <c r="B916" s="12"/>
      <c r="C916" s="16"/>
      <c r="D916" s="18"/>
      <c r="E916" s="19"/>
      <c r="F916" s="21"/>
      <c r="G916" s="22" t="str">
        <f t="shared" si="0"/>
        <v/>
      </c>
      <c r="H916" s="22" t="str">
        <f t="array" ref="H916">IF(F916="","",INDEX(Cripto!$A$1:$A$12,G916))</f>
        <v/>
      </c>
    </row>
    <row r="917" spans="2:8">
      <c r="B917" s="25"/>
      <c r="C917" s="16"/>
      <c r="D917" s="18"/>
      <c r="E917" s="26"/>
      <c r="F917" s="27"/>
      <c r="G917" s="28" t="str">
        <f t="shared" si="0"/>
        <v/>
      </c>
      <c r="H917" s="28" t="str">
        <f t="array" ref="H917">IF(F917="","",INDEX(Cripto!$A$1:$A$12,G917))</f>
        <v/>
      </c>
    </row>
    <row r="918" spans="2:8">
      <c r="B918" s="12"/>
      <c r="C918" s="16"/>
      <c r="D918" s="18"/>
      <c r="E918" s="19"/>
      <c r="F918" s="21"/>
      <c r="G918" s="22" t="str">
        <f t="shared" si="0"/>
        <v/>
      </c>
      <c r="H918" s="22" t="str">
        <f t="array" ref="H918">IF(F918="","",INDEX(Cripto!$A$1:$A$12,G918))</f>
        <v/>
      </c>
    </row>
    <row r="919" spans="2:8">
      <c r="B919" s="25"/>
      <c r="C919" s="16"/>
      <c r="D919" s="18"/>
      <c r="E919" s="26"/>
      <c r="F919" s="27"/>
      <c r="G919" s="28" t="str">
        <f t="shared" si="0"/>
        <v/>
      </c>
      <c r="H919" s="28" t="str">
        <f t="array" ref="H919">IF(F919="","",INDEX(Cripto!$A$1:$A$12,G919))</f>
        <v/>
      </c>
    </row>
    <row r="920" spans="2:8">
      <c r="B920" s="12"/>
      <c r="C920" s="16"/>
      <c r="D920" s="18"/>
      <c r="E920" s="19"/>
      <c r="F920" s="21"/>
      <c r="G920" s="22" t="str">
        <f t="shared" si="0"/>
        <v/>
      </c>
      <c r="H920" s="22" t="str">
        <f t="array" ref="H920">IF(F920="","",INDEX(Cripto!$A$1:$A$12,G920))</f>
        <v/>
      </c>
    </row>
    <row r="921" spans="2:8">
      <c r="B921" s="25"/>
      <c r="C921" s="16"/>
      <c r="D921" s="18"/>
      <c r="E921" s="26"/>
      <c r="F921" s="27"/>
      <c r="G921" s="28" t="str">
        <f t="shared" si="0"/>
        <v/>
      </c>
      <c r="H921" s="28" t="str">
        <f t="array" ref="H921">IF(F921="","",INDEX(Cripto!$A$1:$A$12,G921))</f>
        <v/>
      </c>
    </row>
    <row r="922" spans="2:8">
      <c r="B922" s="12"/>
      <c r="C922" s="16"/>
      <c r="D922" s="18"/>
      <c r="E922" s="19"/>
      <c r="F922" s="21"/>
      <c r="G922" s="22" t="str">
        <f t="shared" si="0"/>
        <v/>
      </c>
      <c r="H922" s="22" t="str">
        <f t="array" ref="H922">IF(F922="","",INDEX(Cripto!$A$1:$A$12,G922))</f>
        <v/>
      </c>
    </row>
    <row r="923" spans="2:8">
      <c r="B923" s="25"/>
      <c r="C923" s="16"/>
      <c r="D923" s="18"/>
      <c r="E923" s="26"/>
      <c r="F923" s="27"/>
      <c r="G923" s="28" t="str">
        <f t="shared" si="0"/>
        <v/>
      </c>
      <c r="H923" s="28" t="str">
        <f t="array" ref="H923">IF(F923="","",INDEX(Cripto!$A$1:$A$12,G923))</f>
        <v/>
      </c>
    </row>
    <row r="924" spans="2:8">
      <c r="B924" s="12"/>
      <c r="C924" s="16"/>
      <c r="D924" s="18"/>
      <c r="E924" s="19"/>
      <c r="F924" s="21"/>
      <c r="G924" s="22" t="str">
        <f t="shared" si="0"/>
        <v/>
      </c>
      <c r="H924" s="22" t="str">
        <f t="array" ref="H924">IF(F924="","",INDEX(Cripto!$A$1:$A$12,G924))</f>
        <v/>
      </c>
    </row>
    <row r="925" spans="2:8">
      <c r="B925" s="25"/>
      <c r="C925" s="16"/>
      <c r="D925" s="18"/>
      <c r="E925" s="26"/>
      <c r="F925" s="27"/>
      <c r="G925" s="28" t="str">
        <f t="shared" si="0"/>
        <v/>
      </c>
      <c r="H925" s="28" t="str">
        <f t="array" ref="H925">IF(F925="","",INDEX(Cripto!$A$1:$A$12,G925))</f>
        <v/>
      </c>
    </row>
    <row r="926" spans="2:8">
      <c r="B926" s="12"/>
      <c r="C926" s="16"/>
      <c r="D926" s="18"/>
      <c r="E926" s="19"/>
      <c r="F926" s="21"/>
      <c r="G926" s="22" t="str">
        <f t="shared" si="0"/>
        <v/>
      </c>
      <c r="H926" s="22" t="str">
        <f t="array" ref="H926">IF(F926="","",INDEX(Cripto!$A$1:$A$12,G926))</f>
        <v/>
      </c>
    </row>
    <row r="927" spans="2:8">
      <c r="B927" s="25"/>
      <c r="C927" s="16"/>
      <c r="D927" s="18"/>
      <c r="E927" s="26"/>
      <c r="F927" s="27"/>
      <c r="G927" s="28" t="str">
        <f t="shared" si="0"/>
        <v/>
      </c>
      <c r="H927" s="28" t="str">
        <f t="array" ref="H927">IF(F927="","",INDEX(Cripto!$A$1:$A$12,G927))</f>
        <v/>
      </c>
    </row>
    <row r="928" spans="2:8">
      <c r="B928" s="12"/>
      <c r="C928" s="16"/>
      <c r="D928" s="18"/>
      <c r="E928" s="19"/>
      <c r="F928" s="21"/>
      <c r="G928" s="22" t="str">
        <f t="shared" si="0"/>
        <v/>
      </c>
      <c r="H928" s="22" t="str">
        <f t="array" ref="H928">IF(F928="","",INDEX(Cripto!$A$1:$A$12,G928))</f>
        <v/>
      </c>
    </row>
    <row r="929" spans="2:8">
      <c r="B929" s="25"/>
      <c r="C929" s="16"/>
      <c r="D929" s="18"/>
      <c r="E929" s="26"/>
      <c r="F929" s="27"/>
      <c r="G929" s="28" t="str">
        <f t="shared" si="0"/>
        <v/>
      </c>
      <c r="H929" s="28" t="str">
        <f t="array" ref="H929">IF(F929="","",INDEX(Cripto!$A$1:$A$12,G929))</f>
        <v/>
      </c>
    </row>
    <row r="930" spans="2:8">
      <c r="B930" s="12"/>
      <c r="C930" s="16"/>
      <c r="D930" s="18"/>
      <c r="E930" s="19"/>
      <c r="F930" s="21"/>
      <c r="G930" s="22" t="str">
        <f t="shared" si="0"/>
        <v/>
      </c>
      <c r="H930" s="22" t="str">
        <f t="array" ref="H930">IF(F930="","",INDEX(Cripto!$A$1:$A$12,G930))</f>
        <v/>
      </c>
    </row>
    <row r="931" spans="2:8">
      <c r="B931" s="25"/>
      <c r="C931" s="16"/>
      <c r="D931" s="18"/>
      <c r="E931" s="26"/>
      <c r="F931" s="27"/>
      <c r="G931" s="28" t="str">
        <f t="shared" si="0"/>
        <v/>
      </c>
      <c r="H931" s="28" t="str">
        <f t="array" ref="H931">IF(F931="","",INDEX(Cripto!$A$1:$A$12,G931))</f>
        <v/>
      </c>
    </row>
    <row r="932" spans="2:8">
      <c r="B932" s="12"/>
      <c r="C932" s="16"/>
      <c r="D932" s="18"/>
      <c r="E932" s="19"/>
      <c r="F932" s="21"/>
      <c r="G932" s="22" t="str">
        <f t="shared" si="0"/>
        <v/>
      </c>
      <c r="H932" s="22" t="str">
        <f t="array" ref="H932">IF(F932="","",INDEX(Cripto!$A$1:$A$12,G932))</f>
        <v/>
      </c>
    </row>
    <row r="933" spans="2:8">
      <c r="B933" s="25"/>
      <c r="C933" s="16"/>
      <c r="D933" s="18"/>
      <c r="E933" s="26"/>
      <c r="F933" s="27"/>
      <c r="G933" s="28" t="str">
        <f t="shared" si="0"/>
        <v/>
      </c>
      <c r="H933" s="28" t="str">
        <f t="array" ref="H933">IF(F933="","",INDEX(Cripto!$A$1:$A$12,G933))</f>
        <v/>
      </c>
    </row>
    <row r="934" spans="2:8">
      <c r="B934" s="12"/>
      <c r="C934" s="16"/>
      <c r="D934" s="18"/>
      <c r="E934" s="19"/>
      <c r="F934" s="21"/>
      <c r="G934" s="22" t="str">
        <f t="shared" si="0"/>
        <v/>
      </c>
      <c r="H934" s="22" t="str">
        <f t="array" ref="H934">IF(F934="","",INDEX(Cripto!$A$1:$A$12,G934))</f>
        <v/>
      </c>
    </row>
    <row r="935" spans="2:8">
      <c r="B935" s="25"/>
      <c r="C935" s="16"/>
      <c r="D935" s="18"/>
      <c r="E935" s="26"/>
      <c r="F935" s="27"/>
      <c r="G935" s="28" t="str">
        <f t="shared" si="0"/>
        <v/>
      </c>
      <c r="H935" s="28" t="str">
        <f t="array" ref="H935">IF(F935="","",INDEX(Cripto!$A$1:$A$12,G935))</f>
        <v/>
      </c>
    </row>
    <row r="936" spans="2:8">
      <c r="B936" s="12"/>
      <c r="C936" s="16"/>
      <c r="D936" s="18"/>
      <c r="E936" s="19"/>
      <c r="F936" s="21"/>
      <c r="G936" s="22" t="str">
        <f t="shared" si="0"/>
        <v/>
      </c>
      <c r="H936" s="22" t="str">
        <f t="array" ref="H936">IF(F936="","",INDEX(Cripto!$A$1:$A$12,G936))</f>
        <v/>
      </c>
    </row>
    <row r="937" spans="2:8">
      <c r="B937" s="25"/>
      <c r="C937" s="16"/>
      <c r="D937" s="18"/>
      <c r="E937" s="26"/>
      <c r="F937" s="27"/>
      <c r="G937" s="28" t="str">
        <f t="shared" si="0"/>
        <v/>
      </c>
      <c r="H937" s="28" t="str">
        <f t="array" ref="H937">IF(F937="","",INDEX(Cripto!$A$1:$A$12,G937))</f>
        <v/>
      </c>
    </row>
    <row r="938" spans="2:8">
      <c r="B938" s="12"/>
      <c r="C938" s="16"/>
      <c r="D938" s="18"/>
      <c r="E938" s="19"/>
      <c r="F938" s="21"/>
      <c r="G938" s="22" t="str">
        <f t="shared" si="0"/>
        <v/>
      </c>
      <c r="H938" s="22" t="str">
        <f t="array" ref="H938">IF(F938="","",INDEX(Cripto!$A$1:$A$12,G938))</f>
        <v/>
      </c>
    </row>
    <row r="939" spans="2:8">
      <c r="B939" s="25"/>
      <c r="C939" s="16"/>
      <c r="D939" s="18"/>
      <c r="E939" s="26"/>
      <c r="F939" s="27"/>
      <c r="G939" s="28" t="str">
        <f t="shared" si="0"/>
        <v/>
      </c>
      <c r="H939" s="28" t="str">
        <f t="array" ref="H939">IF(F939="","",INDEX(Cripto!$A$1:$A$12,G939))</f>
        <v/>
      </c>
    </row>
    <row r="940" spans="2:8">
      <c r="B940" s="12"/>
      <c r="C940" s="16"/>
      <c r="D940" s="18"/>
      <c r="E940" s="19"/>
      <c r="F940" s="21"/>
      <c r="G940" s="22" t="str">
        <f t="shared" si="0"/>
        <v/>
      </c>
      <c r="H940" s="22" t="str">
        <f t="array" ref="H940">IF(F940="","",INDEX(Cripto!$A$1:$A$12,G940))</f>
        <v/>
      </c>
    </row>
    <row r="941" spans="2:8">
      <c r="B941" s="25"/>
      <c r="C941" s="16"/>
      <c r="D941" s="18"/>
      <c r="E941" s="26"/>
      <c r="F941" s="27"/>
      <c r="G941" s="28" t="str">
        <f t="shared" si="0"/>
        <v/>
      </c>
      <c r="H941" s="28" t="str">
        <f t="array" ref="H941">IF(F941="","",INDEX(Cripto!$A$1:$A$12,G941))</f>
        <v/>
      </c>
    </row>
    <row r="942" spans="2:8">
      <c r="B942" s="12"/>
      <c r="C942" s="16"/>
      <c r="D942" s="18"/>
      <c r="E942" s="19"/>
      <c r="F942" s="21"/>
      <c r="G942" s="22" t="str">
        <f t="shared" si="0"/>
        <v/>
      </c>
      <c r="H942" s="22" t="str">
        <f t="array" ref="H942">IF(F942="","",INDEX(Cripto!$A$1:$A$12,G942))</f>
        <v/>
      </c>
    </row>
    <row r="943" spans="2:8">
      <c r="B943" s="25"/>
      <c r="C943" s="16"/>
      <c r="D943" s="18"/>
      <c r="E943" s="26"/>
      <c r="F943" s="27"/>
      <c r="G943" s="28" t="str">
        <f t="shared" si="0"/>
        <v/>
      </c>
      <c r="H943" s="28" t="str">
        <f t="array" ref="H943">IF(F943="","",INDEX(Cripto!$A$1:$A$12,G943))</f>
        <v/>
      </c>
    </row>
    <row r="944" spans="2:8">
      <c r="B944" s="12"/>
      <c r="C944" s="16"/>
      <c r="D944" s="18"/>
      <c r="E944" s="19"/>
      <c r="F944" s="21"/>
      <c r="G944" s="22" t="str">
        <f t="shared" si="0"/>
        <v/>
      </c>
      <c r="H944" s="22" t="str">
        <f t="array" ref="H944">IF(F944="","",INDEX(Cripto!$A$1:$A$12,G944))</f>
        <v/>
      </c>
    </row>
    <row r="945" spans="2:8">
      <c r="B945" s="25"/>
      <c r="C945" s="16"/>
      <c r="D945" s="18"/>
      <c r="E945" s="26"/>
      <c r="F945" s="27"/>
      <c r="G945" s="28" t="str">
        <f t="shared" si="0"/>
        <v/>
      </c>
      <c r="H945" s="28" t="str">
        <f t="array" ref="H945">IF(F945="","",INDEX(Cripto!$A$1:$A$12,G945))</f>
        <v/>
      </c>
    </row>
    <row r="946" spans="2:8">
      <c r="B946" s="12"/>
      <c r="C946" s="16"/>
      <c r="D946" s="18"/>
      <c r="E946" s="19"/>
      <c r="F946" s="21"/>
      <c r="G946" s="22" t="str">
        <f t="shared" si="0"/>
        <v/>
      </c>
      <c r="H946" s="22" t="str">
        <f t="array" ref="H946">IF(F946="","",INDEX(Cripto!$A$1:$A$12,G946))</f>
        <v/>
      </c>
    </row>
    <row r="947" spans="2:8">
      <c r="B947" s="25"/>
      <c r="C947" s="16"/>
      <c r="D947" s="18"/>
      <c r="E947" s="26"/>
      <c r="F947" s="27"/>
      <c r="G947" s="28" t="str">
        <f t="shared" si="0"/>
        <v/>
      </c>
      <c r="H947" s="28" t="str">
        <f t="array" ref="H947">IF(F947="","",INDEX(Cripto!$A$1:$A$12,G947))</f>
        <v/>
      </c>
    </row>
    <row r="948" spans="2:8">
      <c r="B948" s="12"/>
      <c r="C948" s="16"/>
      <c r="D948" s="18"/>
      <c r="E948" s="19"/>
      <c r="F948" s="21"/>
      <c r="G948" s="22" t="str">
        <f t="shared" si="0"/>
        <v/>
      </c>
      <c r="H948" s="22" t="str">
        <f t="array" ref="H948">IF(F948="","",INDEX(Cripto!$A$1:$A$12,G948))</f>
        <v/>
      </c>
    </row>
    <row r="949" spans="2:8">
      <c r="B949" s="25"/>
      <c r="C949" s="16"/>
      <c r="D949" s="18"/>
      <c r="E949" s="26"/>
      <c r="F949" s="27"/>
      <c r="G949" s="28" t="str">
        <f t="shared" si="0"/>
        <v/>
      </c>
      <c r="H949" s="28" t="str">
        <f t="array" ref="H949">IF(F949="","",INDEX(Cripto!$A$1:$A$12,G949))</f>
        <v/>
      </c>
    </row>
    <row r="950" spans="2:8">
      <c r="B950" s="12"/>
      <c r="C950" s="16"/>
      <c r="D950" s="18"/>
      <c r="E950" s="19"/>
      <c r="F950" s="21"/>
      <c r="G950" s="22" t="str">
        <f t="shared" si="0"/>
        <v/>
      </c>
      <c r="H950" s="22" t="str">
        <f t="array" ref="H950">IF(F950="","",INDEX(Cripto!$A$1:$A$12,G950))</f>
        <v/>
      </c>
    </row>
    <row r="951" spans="2:8">
      <c r="B951" s="25"/>
      <c r="C951" s="16"/>
      <c r="D951" s="18"/>
      <c r="E951" s="26"/>
      <c r="F951" s="27"/>
      <c r="G951" s="28" t="str">
        <f t="shared" si="0"/>
        <v/>
      </c>
      <c r="H951" s="28" t="str">
        <f t="array" ref="H951">IF(F951="","",INDEX(Cripto!$A$1:$A$12,G951))</f>
        <v/>
      </c>
    </row>
    <row r="952" spans="2:8">
      <c r="B952" s="12"/>
      <c r="C952" s="16"/>
      <c r="D952" s="18"/>
      <c r="E952" s="19"/>
      <c r="F952" s="21"/>
      <c r="G952" s="22" t="str">
        <f t="shared" si="0"/>
        <v/>
      </c>
      <c r="H952" s="22" t="str">
        <f t="array" ref="H952">IF(F952="","",INDEX(Cripto!$A$1:$A$12,G952))</f>
        <v/>
      </c>
    </row>
    <row r="953" spans="2:8">
      <c r="B953" s="25"/>
      <c r="C953" s="16"/>
      <c r="D953" s="18"/>
      <c r="E953" s="26"/>
      <c r="F953" s="27"/>
      <c r="G953" s="28" t="str">
        <f t="shared" si="0"/>
        <v/>
      </c>
      <c r="H953" s="28" t="str">
        <f t="array" ref="H953">IF(F953="","",INDEX(Cripto!$A$1:$A$12,G953))</f>
        <v/>
      </c>
    </row>
    <row r="954" spans="2:8">
      <c r="B954" s="12"/>
      <c r="C954" s="16"/>
      <c r="D954" s="18"/>
      <c r="E954" s="19"/>
      <c r="F954" s="21"/>
      <c r="G954" s="22" t="str">
        <f t="shared" si="0"/>
        <v/>
      </c>
      <c r="H954" s="22" t="str">
        <f t="array" ref="H954">IF(F954="","",INDEX(Cripto!$A$1:$A$12,G954))</f>
        <v/>
      </c>
    </row>
    <row r="955" spans="2:8">
      <c r="B955" s="25"/>
      <c r="C955" s="16"/>
      <c r="D955" s="18"/>
      <c r="E955" s="26"/>
      <c r="F955" s="27"/>
      <c r="G955" s="28" t="str">
        <f t="shared" si="0"/>
        <v/>
      </c>
      <c r="H955" s="28" t="str">
        <f t="array" ref="H955">IF(F955="","",INDEX(Cripto!$A$1:$A$12,G955))</f>
        <v/>
      </c>
    </row>
    <row r="956" spans="2:8">
      <c r="B956" s="12"/>
      <c r="C956" s="16"/>
      <c r="D956" s="18"/>
      <c r="E956" s="19"/>
      <c r="F956" s="21"/>
      <c r="G956" s="22" t="str">
        <f t="shared" si="0"/>
        <v/>
      </c>
      <c r="H956" s="22" t="str">
        <f t="array" ref="H956">IF(F956="","",INDEX(Cripto!$A$1:$A$12,G956))</f>
        <v/>
      </c>
    </row>
    <row r="957" spans="2:8">
      <c r="B957" s="25"/>
      <c r="C957" s="16"/>
      <c r="D957" s="18"/>
      <c r="E957" s="26"/>
      <c r="F957" s="27"/>
      <c r="G957" s="28" t="str">
        <f t="shared" si="0"/>
        <v/>
      </c>
      <c r="H957" s="28" t="str">
        <f t="array" ref="H957">IF(F957="","",INDEX(Cripto!$A$1:$A$12,G957))</f>
        <v/>
      </c>
    </row>
    <row r="958" spans="2:8">
      <c r="B958" s="12"/>
      <c r="C958" s="16"/>
      <c r="D958" s="18"/>
      <c r="E958" s="19"/>
      <c r="F958" s="21"/>
      <c r="G958" s="22" t="str">
        <f t="shared" si="0"/>
        <v/>
      </c>
      <c r="H958" s="22" t="str">
        <f t="array" ref="H958">IF(F958="","",INDEX(Cripto!$A$1:$A$12,G958))</f>
        <v/>
      </c>
    </row>
    <row r="959" spans="2:8">
      <c r="B959" s="25"/>
      <c r="C959" s="16"/>
      <c r="D959" s="18"/>
      <c r="E959" s="26"/>
      <c r="F959" s="27"/>
      <c r="G959" s="28" t="str">
        <f t="shared" si="0"/>
        <v/>
      </c>
      <c r="H959" s="28" t="str">
        <f t="array" ref="H959">IF(F959="","",INDEX(Cripto!$A$1:$A$12,G959))</f>
        <v/>
      </c>
    </row>
    <row r="960" spans="2:8">
      <c r="B960" s="12"/>
      <c r="C960" s="16"/>
      <c r="D960" s="18"/>
      <c r="E960" s="19"/>
      <c r="F960" s="21"/>
      <c r="G960" s="22" t="str">
        <f t="shared" si="0"/>
        <v/>
      </c>
      <c r="H960" s="22" t="str">
        <f t="array" ref="H960">IF(F960="","",INDEX(Cripto!$A$1:$A$12,G960))</f>
        <v/>
      </c>
    </row>
    <row r="961" spans="2:8">
      <c r="B961" s="25"/>
      <c r="C961" s="16"/>
      <c r="D961" s="18"/>
      <c r="E961" s="26"/>
      <c r="F961" s="27"/>
      <c r="G961" s="28" t="str">
        <f t="shared" si="0"/>
        <v/>
      </c>
      <c r="H961" s="28" t="str">
        <f t="array" ref="H961">IF(F961="","",INDEX(Cripto!$A$1:$A$12,G961))</f>
        <v/>
      </c>
    </row>
    <row r="962" spans="2:8">
      <c r="B962" s="12"/>
      <c r="C962" s="16"/>
      <c r="D962" s="18"/>
      <c r="E962" s="19"/>
      <c r="F962" s="21"/>
      <c r="G962" s="22" t="str">
        <f t="shared" si="0"/>
        <v/>
      </c>
      <c r="H962" s="22" t="str">
        <f t="array" ref="H962">IF(F962="","",INDEX(Cripto!$A$1:$A$12,G962))</f>
        <v/>
      </c>
    </row>
    <row r="963" spans="2:8">
      <c r="B963" s="25"/>
      <c r="C963" s="16"/>
      <c r="D963" s="18"/>
      <c r="E963" s="26"/>
      <c r="F963" s="27"/>
      <c r="G963" s="28" t="str">
        <f t="shared" si="0"/>
        <v/>
      </c>
      <c r="H963" s="28" t="str">
        <f t="array" ref="H963">IF(F963="","",INDEX(Cripto!$A$1:$A$12,G963))</f>
        <v/>
      </c>
    </row>
    <row r="964" spans="2:8">
      <c r="B964" s="12"/>
      <c r="C964" s="16"/>
      <c r="D964" s="18"/>
      <c r="E964" s="19"/>
      <c r="F964" s="21"/>
      <c r="G964" s="22" t="str">
        <f t="shared" si="0"/>
        <v/>
      </c>
      <c r="H964" s="22" t="str">
        <f t="array" ref="H964">IF(F964="","",INDEX(Cripto!$A$1:$A$12,G964))</f>
        <v/>
      </c>
    </row>
    <row r="965" spans="2:8">
      <c r="B965" s="25"/>
      <c r="C965" s="16"/>
      <c r="D965" s="18"/>
      <c r="E965" s="26"/>
      <c r="F965" s="27"/>
      <c r="G965" s="28" t="str">
        <f t="shared" si="0"/>
        <v/>
      </c>
      <c r="H965" s="28" t="str">
        <f t="array" ref="H965">IF(F965="","",INDEX(Cripto!$A$1:$A$12,G965))</f>
        <v/>
      </c>
    </row>
    <row r="966" spans="2:8">
      <c r="B966" s="12"/>
      <c r="C966" s="16"/>
      <c r="D966" s="18"/>
      <c r="E966" s="19"/>
      <c r="F966" s="21"/>
      <c r="G966" s="22" t="str">
        <f t="shared" si="0"/>
        <v/>
      </c>
      <c r="H966" s="22" t="str">
        <f t="array" ref="H966">IF(F966="","",INDEX(Cripto!$A$1:$A$12,G966))</f>
        <v/>
      </c>
    </row>
    <row r="967" spans="2:8">
      <c r="B967" s="25"/>
      <c r="C967" s="16"/>
      <c r="D967" s="18"/>
      <c r="E967" s="26"/>
      <c r="F967" s="27"/>
      <c r="G967" s="28" t="str">
        <f t="shared" si="0"/>
        <v/>
      </c>
      <c r="H967" s="28" t="str">
        <f t="array" ref="H967">IF(F967="","",INDEX(Cripto!$A$1:$A$12,G967))</f>
        <v/>
      </c>
    </row>
    <row r="968" spans="2:8">
      <c r="B968" s="12"/>
      <c r="C968" s="16"/>
      <c r="D968" s="18"/>
      <c r="E968" s="19"/>
      <c r="F968" s="21"/>
      <c r="G968" s="22" t="str">
        <f t="shared" si="0"/>
        <v/>
      </c>
      <c r="H968" s="22" t="str">
        <f t="array" ref="H968">IF(F968="","",INDEX(Cripto!$A$1:$A$12,G968))</f>
        <v/>
      </c>
    </row>
    <row r="969" spans="2:8">
      <c r="B969" s="25"/>
      <c r="C969" s="16"/>
      <c r="D969" s="18"/>
      <c r="E969" s="26"/>
      <c r="F969" s="27"/>
      <c r="G969" s="28" t="str">
        <f t="shared" si="0"/>
        <v/>
      </c>
      <c r="H969" s="28" t="str">
        <f t="array" ref="H969">IF(F969="","",INDEX(Cripto!$A$1:$A$12,G969))</f>
        <v/>
      </c>
    </row>
    <row r="970" spans="2:8">
      <c r="B970" s="12"/>
      <c r="C970" s="16"/>
      <c r="D970" s="18"/>
      <c r="E970" s="19"/>
      <c r="F970" s="21"/>
      <c r="G970" s="22" t="str">
        <f t="shared" si="0"/>
        <v/>
      </c>
      <c r="H970" s="22" t="str">
        <f t="array" ref="H970">IF(F970="","",INDEX(Cripto!$A$1:$A$12,G970))</f>
        <v/>
      </c>
    </row>
    <row r="971" spans="2:8">
      <c r="B971" s="25"/>
      <c r="C971" s="16"/>
      <c r="D971" s="18"/>
      <c r="E971" s="26"/>
      <c r="F971" s="27"/>
      <c r="G971" s="28" t="str">
        <f t="shared" si="0"/>
        <v/>
      </c>
      <c r="H971" s="28" t="str">
        <f t="array" ref="H971">IF(F971="","",INDEX(Cripto!$A$1:$A$12,G971))</f>
        <v/>
      </c>
    </row>
    <row r="972" spans="2:8">
      <c r="B972" s="12"/>
      <c r="C972" s="16"/>
      <c r="D972" s="18"/>
      <c r="E972" s="19"/>
      <c r="F972" s="21"/>
      <c r="G972" s="22" t="str">
        <f t="shared" si="0"/>
        <v/>
      </c>
      <c r="H972" s="22" t="str">
        <f t="array" ref="H972">IF(F972="","",INDEX(Cripto!$A$1:$A$12,G972))</f>
        <v/>
      </c>
    </row>
    <row r="973" spans="2:8">
      <c r="B973" s="25"/>
      <c r="C973" s="16"/>
      <c r="D973" s="18"/>
      <c r="E973" s="26"/>
      <c r="F973" s="27"/>
      <c r="G973" s="28" t="str">
        <f t="shared" si="0"/>
        <v/>
      </c>
      <c r="H973" s="28" t="str">
        <f t="array" ref="H973">IF(F973="","",INDEX(Cripto!$A$1:$A$12,G973))</f>
        <v/>
      </c>
    </row>
    <row r="974" spans="2:8">
      <c r="B974" s="12"/>
      <c r="C974" s="16"/>
      <c r="D974" s="18"/>
      <c r="E974" s="19"/>
      <c r="F974" s="21"/>
      <c r="G974" s="22" t="str">
        <f t="shared" si="0"/>
        <v/>
      </c>
      <c r="H974" s="22" t="str">
        <f t="array" ref="H974">IF(F974="","",INDEX(Cripto!$A$1:$A$12,G974))</f>
        <v/>
      </c>
    </row>
    <row r="975" spans="2:8">
      <c r="B975" s="25"/>
      <c r="C975" s="16"/>
      <c r="D975" s="18"/>
      <c r="E975" s="26"/>
      <c r="F975" s="27"/>
      <c r="G975" s="28" t="str">
        <f t="shared" si="0"/>
        <v/>
      </c>
      <c r="H975" s="28" t="str">
        <f t="array" ref="H975">IF(F975="","",INDEX(Cripto!$A$1:$A$12,G975))</f>
        <v/>
      </c>
    </row>
    <row r="976" spans="2:8">
      <c r="B976" s="12"/>
      <c r="C976" s="16"/>
      <c r="D976" s="18"/>
      <c r="E976" s="19"/>
      <c r="F976" s="21"/>
      <c r="G976" s="22" t="str">
        <f t="shared" si="0"/>
        <v/>
      </c>
      <c r="H976" s="22" t="str">
        <f t="array" ref="H976">IF(F976="","",INDEX(Cripto!$A$1:$A$12,G976))</f>
        <v/>
      </c>
    </row>
    <row r="977" spans="2:8">
      <c r="B977" s="25"/>
      <c r="C977" s="16"/>
      <c r="D977" s="18"/>
      <c r="E977" s="26"/>
      <c r="F977" s="27"/>
      <c r="G977" s="28" t="str">
        <f t="shared" si="0"/>
        <v/>
      </c>
      <c r="H977" s="28" t="str">
        <f t="array" ref="H977">IF(F977="","",INDEX(Cripto!$A$1:$A$12,G977))</f>
        <v/>
      </c>
    </row>
    <row r="978" spans="2:8">
      <c r="B978" s="12"/>
      <c r="C978" s="16"/>
      <c r="D978" s="18"/>
      <c r="E978" s="19"/>
      <c r="F978" s="21"/>
      <c r="G978" s="22" t="str">
        <f t="shared" si="0"/>
        <v/>
      </c>
      <c r="H978" s="22" t="str">
        <f t="array" ref="H978">IF(F978="","",INDEX(Cripto!$A$1:$A$12,G978))</f>
        <v/>
      </c>
    </row>
    <row r="979" spans="2:8">
      <c r="B979" s="25"/>
      <c r="C979" s="16"/>
      <c r="D979" s="18"/>
      <c r="E979" s="26"/>
      <c r="F979" s="27"/>
      <c r="G979" s="28" t="str">
        <f t="shared" si="0"/>
        <v/>
      </c>
      <c r="H979" s="28" t="str">
        <f t="array" ref="H979">IF(F979="","",INDEX(Cripto!$A$1:$A$12,G979))</f>
        <v/>
      </c>
    </row>
    <row r="980" spans="2:8">
      <c r="B980" s="12"/>
      <c r="C980" s="16"/>
      <c r="D980" s="18"/>
      <c r="E980" s="19"/>
      <c r="F980" s="21"/>
      <c r="G980" s="22" t="str">
        <f t="shared" si="0"/>
        <v/>
      </c>
      <c r="H980" s="22" t="str">
        <f t="array" ref="H980">IF(F980="","",INDEX(Cripto!$A$1:$A$12,G980))</f>
        <v/>
      </c>
    </row>
    <row r="981" spans="2:8">
      <c r="B981" s="25"/>
      <c r="C981" s="16"/>
      <c r="D981" s="18"/>
      <c r="E981" s="26"/>
      <c r="F981" s="27"/>
      <c r="G981" s="28" t="str">
        <f t="shared" si="0"/>
        <v/>
      </c>
      <c r="H981" s="28" t="str">
        <f t="array" ref="H981">IF(F981="","",INDEX(Cripto!$A$1:$A$12,G981))</f>
        <v/>
      </c>
    </row>
    <row r="982" spans="2:8">
      <c r="B982" s="12"/>
      <c r="C982" s="16"/>
      <c r="D982" s="18"/>
      <c r="E982" s="19"/>
      <c r="F982" s="21"/>
      <c r="G982" s="22" t="str">
        <f t="shared" si="0"/>
        <v/>
      </c>
      <c r="H982" s="22" t="str">
        <f t="array" ref="H982">IF(F982="","",INDEX(Cripto!$A$1:$A$12,G982))</f>
        <v/>
      </c>
    </row>
    <row r="983" spans="2:8">
      <c r="B983" s="25"/>
      <c r="C983" s="16"/>
      <c r="D983" s="18"/>
      <c r="E983" s="26"/>
      <c r="F983" s="27"/>
      <c r="G983" s="28" t="str">
        <f t="shared" si="0"/>
        <v/>
      </c>
      <c r="H983" s="28" t="str">
        <f t="array" ref="H983">IF(F983="","",INDEX(Cripto!$A$1:$A$12,G983))</f>
        <v/>
      </c>
    </row>
    <row r="984" spans="2:8">
      <c r="B984" s="12"/>
      <c r="C984" s="16"/>
      <c r="D984" s="18"/>
      <c r="E984" s="19"/>
      <c r="F984" s="21"/>
      <c r="G984" s="22" t="str">
        <f t="shared" si="0"/>
        <v/>
      </c>
      <c r="H984" s="22" t="str">
        <f t="array" ref="H984">IF(F984="","",INDEX(Cripto!$A$1:$A$12,G984))</f>
        <v/>
      </c>
    </row>
    <row r="985" spans="2:8">
      <c r="B985" s="25"/>
      <c r="C985" s="16"/>
      <c r="D985" s="18"/>
      <c r="E985" s="26"/>
      <c r="F985" s="27"/>
      <c r="G985" s="28" t="str">
        <f t="shared" si="0"/>
        <v/>
      </c>
      <c r="H985" s="28" t="str">
        <f t="array" ref="H985">IF(F985="","",INDEX(Cripto!$A$1:$A$12,G985))</f>
        <v/>
      </c>
    </row>
    <row r="986" spans="2:8">
      <c r="B986" s="12"/>
      <c r="C986" s="16"/>
      <c r="D986" s="18"/>
      <c r="E986" s="19"/>
      <c r="F986" s="21"/>
      <c r="G986" s="22" t="str">
        <f t="shared" si="0"/>
        <v/>
      </c>
      <c r="H986" s="22" t="str">
        <f t="array" ref="H986">IF(F986="","",INDEX(Cripto!$A$1:$A$12,G986))</f>
        <v/>
      </c>
    </row>
    <row r="987" spans="2:8">
      <c r="B987" s="25"/>
      <c r="C987" s="16"/>
      <c r="D987" s="18"/>
      <c r="E987" s="26"/>
      <c r="F987" s="27"/>
      <c r="G987" s="28" t="str">
        <f t="shared" si="0"/>
        <v/>
      </c>
      <c r="H987" s="28" t="str">
        <f t="array" ref="H987">IF(F987="","",INDEX(Cripto!$A$1:$A$12,G987))</f>
        <v/>
      </c>
    </row>
    <row r="988" spans="2:8">
      <c r="B988" s="12"/>
      <c r="C988" s="16"/>
      <c r="D988" s="18"/>
      <c r="E988" s="19"/>
      <c r="F988" s="21"/>
      <c r="G988" s="22" t="str">
        <f t="shared" si="0"/>
        <v/>
      </c>
      <c r="H988" s="22" t="str">
        <f t="array" ref="H988">IF(F988="","",INDEX(Cripto!$A$1:$A$12,G988))</f>
        <v/>
      </c>
    </row>
    <row r="989" spans="2:8">
      <c r="B989" s="25"/>
      <c r="C989" s="16"/>
      <c r="D989" s="18"/>
      <c r="E989" s="26"/>
      <c r="F989" s="27"/>
      <c r="G989" s="28" t="str">
        <f t="shared" si="0"/>
        <v/>
      </c>
      <c r="H989" s="28" t="str">
        <f t="array" ref="H989">IF(F989="","",INDEX(Cripto!$A$1:$A$12,G989))</f>
        <v/>
      </c>
    </row>
    <row r="990" spans="2:8">
      <c r="B990" s="12"/>
      <c r="C990" s="16"/>
      <c r="D990" s="18"/>
      <c r="E990" s="19"/>
      <c r="F990" s="21"/>
      <c r="G990" s="22" t="str">
        <f t="shared" si="0"/>
        <v/>
      </c>
      <c r="H990" s="22" t="str">
        <f t="array" ref="H990">IF(F990="","",INDEX(Cripto!$A$1:$A$12,G990))</f>
        <v/>
      </c>
    </row>
    <row r="991" spans="2:8">
      <c r="B991" s="25"/>
      <c r="C991" s="16"/>
      <c r="D991" s="18"/>
      <c r="E991" s="26"/>
      <c r="F991" s="27"/>
      <c r="G991" s="28" t="str">
        <f t="shared" si="0"/>
        <v/>
      </c>
      <c r="H991" s="28" t="str">
        <f t="array" ref="H991">IF(F991="","",INDEX(Cripto!$A$1:$A$12,G991))</f>
        <v/>
      </c>
    </row>
    <row r="992" spans="2:8">
      <c r="B992" s="12"/>
      <c r="C992" s="16"/>
      <c r="D992" s="18"/>
      <c r="E992" s="19"/>
      <c r="F992" s="21"/>
      <c r="G992" s="22" t="str">
        <f t="shared" si="0"/>
        <v/>
      </c>
      <c r="H992" s="22" t="str">
        <f t="array" ref="H992">IF(F992="","",INDEX(Cripto!$A$1:$A$12,G992))</f>
        <v/>
      </c>
    </row>
    <row r="993" spans="2:8">
      <c r="B993" s="25"/>
      <c r="C993" s="16"/>
      <c r="D993" s="18"/>
      <c r="E993" s="26"/>
      <c r="F993" s="27"/>
      <c r="G993" s="28" t="str">
        <f t="shared" si="0"/>
        <v/>
      </c>
      <c r="H993" s="28" t="str">
        <f t="array" ref="H993">IF(F993="","",INDEX(Cripto!$A$1:$A$12,G993))</f>
        <v/>
      </c>
    </row>
    <row r="994" spans="2:8">
      <c r="B994" s="12"/>
      <c r="C994" s="12"/>
      <c r="D994" s="12"/>
      <c r="E994" s="19"/>
      <c r="F994" s="21"/>
      <c r="G994" s="22"/>
      <c r="H994" s="22"/>
    </row>
    <row r="995" spans="2:8">
      <c r="B995" s="116"/>
      <c r="C995" s="16"/>
      <c r="D995" s="18"/>
      <c r="E995" s="117"/>
      <c r="F995" s="118"/>
      <c r="G995" s="119"/>
      <c r="H995" s="119"/>
    </row>
    <row r="996" spans="2:8">
      <c r="B996" s="116"/>
      <c r="C996" s="16"/>
      <c r="D996" s="18"/>
      <c r="E996" s="117"/>
      <c r="F996" s="118"/>
      <c r="G996" s="119"/>
      <c r="H996" s="119"/>
    </row>
    <row r="997" spans="2:8">
      <c r="B997" s="116"/>
      <c r="C997" s="16"/>
      <c r="D997" s="18"/>
      <c r="E997" s="117"/>
      <c r="F997" s="118"/>
      <c r="G997" s="119" t="str">
        <f t="shared" ref="G997:G1096" si="1">IF(F997="","",MONTH(F997))</f>
        <v/>
      </c>
      <c r="H997" s="119" t="str">
        <f t="array" ref="H997">IF(F997="","",INDEX(Cripto!$A$1:$A$12,G997))</f>
        <v/>
      </c>
    </row>
    <row r="998" spans="2:8">
      <c r="B998" s="116"/>
      <c r="C998" s="16"/>
      <c r="D998" s="18"/>
      <c r="E998" s="117"/>
      <c r="F998" s="118"/>
      <c r="G998" s="119" t="str">
        <f t="shared" si="1"/>
        <v/>
      </c>
      <c r="H998" s="119" t="str">
        <f t="array" ref="H998">IF(F998="","",INDEX(Cripto!$A$1:$A$12,G998))</f>
        <v/>
      </c>
    </row>
    <row r="999" spans="2:8">
      <c r="B999" s="116"/>
      <c r="C999" s="16"/>
      <c r="D999" s="18"/>
      <c r="E999" s="117"/>
      <c r="F999" s="118"/>
      <c r="G999" s="119" t="str">
        <f t="shared" si="1"/>
        <v/>
      </c>
      <c r="H999" s="119" t="str">
        <f t="array" ref="H999">IF(F999="","",INDEX(Cripto!$A$1:$A$12,G999))</f>
        <v/>
      </c>
    </row>
    <row r="1000" spans="2:8">
      <c r="B1000" s="116"/>
      <c r="C1000" s="16"/>
      <c r="D1000" s="18"/>
      <c r="E1000" s="117"/>
      <c r="F1000" s="118"/>
      <c r="G1000" s="119" t="str">
        <f t="shared" si="1"/>
        <v/>
      </c>
      <c r="H1000" s="119" t="str">
        <f t="array" ref="H1000">IF(F1000="","",INDEX(Cripto!$A$1:$A$12,G1000))</f>
        <v/>
      </c>
    </row>
    <row r="1001" spans="2:8">
      <c r="B1001" s="116"/>
      <c r="C1001" s="16"/>
      <c r="D1001" s="18"/>
      <c r="E1001" s="117"/>
      <c r="F1001" s="118"/>
      <c r="G1001" s="119" t="str">
        <f t="shared" si="1"/>
        <v/>
      </c>
      <c r="H1001" s="119" t="str">
        <f t="array" ref="H1001">IF(F1001="","",INDEX(Cripto!$A$1:$A$12,G1001))</f>
        <v/>
      </c>
    </row>
    <row r="1002" spans="2:8">
      <c r="B1002" s="116"/>
      <c r="C1002" s="16"/>
      <c r="D1002" s="18"/>
      <c r="E1002" s="117"/>
      <c r="F1002" s="118"/>
      <c r="G1002" s="119" t="str">
        <f t="shared" si="1"/>
        <v/>
      </c>
      <c r="H1002" s="119" t="str">
        <f t="array" ref="H1002">IF(F1002="","",INDEX(Cripto!$A$1:$A$12,G1002))</f>
        <v/>
      </c>
    </row>
    <row r="1003" spans="2:8">
      <c r="B1003" s="116"/>
      <c r="C1003" s="16"/>
      <c r="D1003" s="18"/>
      <c r="E1003" s="117"/>
      <c r="F1003" s="118"/>
      <c r="G1003" s="119" t="str">
        <f t="shared" si="1"/>
        <v/>
      </c>
      <c r="H1003" s="119" t="str">
        <f t="array" ref="H1003">IF(F1003="","",INDEX(Cripto!$A$1:$A$12,G1003))</f>
        <v/>
      </c>
    </row>
    <row r="1004" spans="2:8">
      <c r="B1004" s="116"/>
      <c r="C1004" s="16"/>
      <c r="D1004" s="18"/>
      <c r="E1004" s="117"/>
      <c r="F1004" s="118"/>
      <c r="G1004" s="119" t="str">
        <f t="shared" si="1"/>
        <v/>
      </c>
      <c r="H1004" s="119" t="str">
        <f t="array" ref="H1004">IF(F1004="","",INDEX(Cripto!$A$1:$A$12,G1004))</f>
        <v/>
      </c>
    </row>
    <row r="1005" spans="2:8">
      <c r="B1005" s="116"/>
      <c r="C1005" s="16"/>
      <c r="D1005" s="18"/>
      <c r="E1005" s="117"/>
      <c r="F1005" s="118"/>
      <c r="G1005" s="119" t="str">
        <f t="shared" si="1"/>
        <v/>
      </c>
      <c r="H1005" s="119" t="str">
        <f t="array" ref="H1005">IF(F1005="","",INDEX(Cripto!$A$1:$A$12,G1005))</f>
        <v/>
      </c>
    </row>
    <row r="1006" spans="2:8">
      <c r="B1006" s="116"/>
      <c r="C1006" s="16"/>
      <c r="D1006" s="18"/>
      <c r="E1006" s="117"/>
      <c r="F1006" s="118"/>
      <c r="G1006" s="119" t="str">
        <f t="shared" si="1"/>
        <v/>
      </c>
      <c r="H1006" s="119" t="str">
        <f t="array" ref="H1006">IF(F1006="","",INDEX(Cripto!$A$1:$A$12,G1006))</f>
        <v/>
      </c>
    </row>
    <row r="1007" spans="2:8">
      <c r="B1007" s="116"/>
      <c r="C1007" s="16"/>
      <c r="D1007" s="18"/>
      <c r="E1007" s="117"/>
      <c r="F1007" s="118"/>
      <c r="G1007" s="119" t="str">
        <f t="shared" si="1"/>
        <v/>
      </c>
      <c r="H1007" s="119" t="str">
        <f t="array" ref="H1007">IF(F1007="","",INDEX(Cripto!$A$1:$A$12,G1007))</f>
        <v/>
      </c>
    </row>
    <row r="1008" spans="2:8">
      <c r="B1008" s="116"/>
      <c r="C1008" s="16"/>
      <c r="D1008" s="18"/>
      <c r="E1008" s="117"/>
      <c r="F1008" s="118"/>
      <c r="G1008" s="119" t="str">
        <f t="shared" si="1"/>
        <v/>
      </c>
      <c r="H1008" s="119" t="str">
        <f t="array" ref="H1008">IF(F1008="","",INDEX(Cripto!$A$1:$A$12,G1008))</f>
        <v/>
      </c>
    </row>
    <row r="1009" spans="2:8">
      <c r="B1009" s="116"/>
      <c r="C1009" s="16"/>
      <c r="D1009" s="18"/>
      <c r="E1009" s="117"/>
      <c r="F1009" s="118"/>
      <c r="G1009" s="119" t="str">
        <f t="shared" si="1"/>
        <v/>
      </c>
      <c r="H1009" s="119" t="str">
        <f t="array" ref="H1009">IF(F1009="","",INDEX(Cripto!$A$1:$A$12,G1009))</f>
        <v/>
      </c>
    </row>
    <row r="1010" spans="2:8">
      <c r="B1010" s="116"/>
      <c r="C1010" s="16"/>
      <c r="D1010" s="18"/>
      <c r="E1010" s="117"/>
      <c r="F1010" s="118"/>
      <c r="G1010" s="119" t="str">
        <f t="shared" si="1"/>
        <v/>
      </c>
      <c r="H1010" s="119" t="str">
        <f t="array" ref="H1010">IF(F1010="","",INDEX(Cripto!$A$1:$A$12,G1010))</f>
        <v/>
      </c>
    </row>
    <row r="1011" spans="2:8">
      <c r="B1011" s="116"/>
      <c r="C1011" s="16"/>
      <c r="D1011" s="18"/>
      <c r="E1011" s="117"/>
      <c r="F1011" s="118"/>
      <c r="G1011" s="119" t="str">
        <f t="shared" si="1"/>
        <v/>
      </c>
      <c r="H1011" s="119" t="str">
        <f t="array" ref="H1011">IF(F1011="","",INDEX(Cripto!$A$1:$A$12,G1011))</f>
        <v/>
      </c>
    </row>
    <row r="1012" spans="2:8">
      <c r="B1012" s="116"/>
      <c r="C1012" s="16"/>
      <c r="D1012" s="18"/>
      <c r="E1012" s="117"/>
      <c r="F1012" s="118"/>
      <c r="G1012" s="119" t="str">
        <f t="shared" si="1"/>
        <v/>
      </c>
      <c r="H1012" s="119" t="str">
        <f t="array" ref="H1012">IF(F1012="","",INDEX(Cripto!$A$1:$A$12,G1012))</f>
        <v/>
      </c>
    </row>
    <row r="1013" spans="2:8">
      <c r="B1013" s="116"/>
      <c r="C1013" s="16"/>
      <c r="D1013" s="18"/>
      <c r="E1013" s="117"/>
      <c r="F1013" s="118"/>
      <c r="G1013" s="119" t="str">
        <f t="shared" si="1"/>
        <v/>
      </c>
      <c r="H1013" s="119" t="str">
        <f t="array" ref="H1013">IF(F1013="","",INDEX(Cripto!$A$1:$A$12,G1013))</f>
        <v/>
      </c>
    </row>
    <row r="1014" spans="2:8">
      <c r="B1014" s="116"/>
      <c r="C1014" s="16"/>
      <c r="D1014" s="18"/>
      <c r="E1014" s="117"/>
      <c r="F1014" s="118"/>
      <c r="G1014" s="119" t="str">
        <f t="shared" si="1"/>
        <v/>
      </c>
      <c r="H1014" s="119" t="str">
        <f t="array" ref="H1014">IF(F1014="","",INDEX(Cripto!$A$1:$A$12,G1014))</f>
        <v/>
      </c>
    </row>
    <row r="1015" spans="2:8">
      <c r="B1015" s="116"/>
      <c r="C1015" s="16"/>
      <c r="D1015" s="18"/>
      <c r="E1015" s="117"/>
      <c r="F1015" s="118"/>
      <c r="G1015" s="119" t="str">
        <f t="shared" si="1"/>
        <v/>
      </c>
      <c r="H1015" s="119" t="str">
        <f t="array" ref="H1015">IF(F1015="","",INDEX(Cripto!$A$1:$A$12,G1015))</f>
        <v/>
      </c>
    </row>
    <row r="1016" spans="2:8">
      <c r="B1016" s="116"/>
      <c r="C1016" s="16"/>
      <c r="D1016" s="18"/>
      <c r="E1016" s="117"/>
      <c r="F1016" s="118"/>
      <c r="G1016" s="119" t="str">
        <f t="shared" si="1"/>
        <v/>
      </c>
      <c r="H1016" s="119" t="str">
        <f t="array" ref="H1016">IF(F1016="","",INDEX(Cripto!$A$1:$A$12,G1016))</f>
        <v/>
      </c>
    </row>
    <row r="1017" spans="2:8">
      <c r="B1017" s="116"/>
      <c r="C1017" s="16"/>
      <c r="D1017" s="18"/>
      <c r="E1017" s="117"/>
      <c r="F1017" s="118"/>
      <c r="G1017" s="119" t="str">
        <f t="shared" si="1"/>
        <v/>
      </c>
      <c r="H1017" s="119" t="str">
        <f t="array" ref="H1017">IF(F1017="","",INDEX(Cripto!$A$1:$A$12,G1017))</f>
        <v/>
      </c>
    </row>
    <row r="1018" spans="2:8">
      <c r="B1018" s="116"/>
      <c r="C1018" s="16"/>
      <c r="D1018" s="18"/>
      <c r="E1018" s="117"/>
      <c r="F1018" s="118"/>
      <c r="G1018" s="119" t="str">
        <f t="shared" si="1"/>
        <v/>
      </c>
      <c r="H1018" s="119" t="str">
        <f t="array" ref="H1018">IF(F1018="","",INDEX(Cripto!$A$1:$A$12,G1018))</f>
        <v/>
      </c>
    </row>
    <row r="1019" spans="2:8">
      <c r="B1019" s="116"/>
      <c r="C1019" s="16"/>
      <c r="D1019" s="18"/>
      <c r="E1019" s="117"/>
      <c r="F1019" s="118"/>
      <c r="G1019" s="119" t="str">
        <f t="shared" si="1"/>
        <v/>
      </c>
      <c r="H1019" s="119" t="str">
        <f t="array" ref="H1019">IF(F1019="","",INDEX(Cripto!$A$1:$A$12,G1019))</f>
        <v/>
      </c>
    </row>
    <row r="1020" spans="2:8">
      <c r="B1020" s="116"/>
      <c r="C1020" s="16"/>
      <c r="D1020" s="18"/>
      <c r="E1020" s="117"/>
      <c r="F1020" s="118"/>
      <c r="G1020" s="119" t="str">
        <f t="shared" si="1"/>
        <v/>
      </c>
      <c r="H1020" s="119" t="str">
        <f t="array" ref="H1020">IF(F1020="","",INDEX(Cripto!$A$1:$A$12,G1020))</f>
        <v/>
      </c>
    </row>
    <row r="1021" spans="2:8">
      <c r="B1021" s="116"/>
      <c r="C1021" s="16"/>
      <c r="D1021" s="18"/>
      <c r="E1021" s="117"/>
      <c r="F1021" s="118"/>
      <c r="G1021" s="119" t="str">
        <f t="shared" si="1"/>
        <v/>
      </c>
      <c r="H1021" s="119" t="str">
        <f t="array" ref="H1021">IF(F1021="","",INDEX(Cripto!$A$1:$A$12,G1021))</f>
        <v/>
      </c>
    </row>
    <row r="1022" spans="2:8">
      <c r="B1022" s="116"/>
      <c r="C1022" s="16"/>
      <c r="D1022" s="18"/>
      <c r="E1022" s="117"/>
      <c r="F1022" s="118"/>
      <c r="G1022" s="119" t="str">
        <f t="shared" si="1"/>
        <v/>
      </c>
      <c r="H1022" s="119" t="str">
        <f t="array" ref="H1022">IF(F1022="","",INDEX(Cripto!$A$1:$A$12,G1022))</f>
        <v/>
      </c>
    </row>
    <row r="1023" spans="2:8">
      <c r="B1023" s="116"/>
      <c r="C1023" s="16"/>
      <c r="D1023" s="18"/>
      <c r="E1023" s="117"/>
      <c r="F1023" s="118"/>
      <c r="G1023" s="119" t="str">
        <f t="shared" si="1"/>
        <v/>
      </c>
      <c r="H1023" s="119" t="str">
        <f t="array" ref="H1023">IF(F1023="","",INDEX(Cripto!$A$1:$A$12,G1023))</f>
        <v/>
      </c>
    </row>
    <row r="1024" spans="2:8">
      <c r="B1024" s="116"/>
      <c r="C1024" s="16"/>
      <c r="D1024" s="18"/>
      <c r="E1024" s="117"/>
      <c r="F1024" s="118"/>
      <c r="G1024" s="119" t="str">
        <f t="shared" si="1"/>
        <v/>
      </c>
      <c r="H1024" s="119" t="str">
        <f t="array" ref="H1024">IF(F1024="","",INDEX(Cripto!$A$1:$A$12,G1024))</f>
        <v/>
      </c>
    </row>
    <row r="1025" spans="2:8">
      <c r="B1025" s="116"/>
      <c r="C1025" s="16"/>
      <c r="D1025" s="18"/>
      <c r="E1025" s="117"/>
      <c r="F1025" s="118"/>
      <c r="G1025" s="119" t="str">
        <f t="shared" si="1"/>
        <v/>
      </c>
      <c r="H1025" s="119" t="str">
        <f t="array" ref="H1025">IF(F1025="","",INDEX(Cripto!$A$1:$A$12,G1025))</f>
        <v/>
      </c>
    </row>
    <row r="1026" spans="2:8">
      <c r="B1026" s="116"/>
      <c r="C1026" s="16"/>
      <c r="D1026" s="18"/>
      <c r="E1026" s="117"/>
      <c r="F1026" s="118"/>
      <c r="G1026" s="119" t="str">
        <f t="shared" si="1"/>
        <v/>
      </c>
      <c r="H1026" s="119" t="str">
        <f t="array" ref="H1026">IF(F1026="","",INDEX(Cripto!$A$1:$A$12,G1026))</f>
        <v/>
      </c>
    </row>
    <row r="1027" spans="2:8">
      <c r="B1027" s="116"/>
      <c r="C1027" s="16"/>
      <c r="D1027" s="18"/>
      <c r="E1027" s="117"/>
      <c r="F1027" s="118"/>
      <c r="G1027" s="119" t="str">
        <f t="shared" si="1"/>
        <v/>
      </c>
      <c r="H1027" s="119" t="str">
        <f t="array" ref="H1027">IF(F1027="","",INDEX(Cripto!$A$1:$A$12,G1027))</f>
        <v/>
      </c>
    </row>
    <row r="1028" spans="2:8">
      <c r="B1028" s="116"/>
      <c r="C1028" s="16"/>
      <c r="D1028" s="18"/>
      <c r="E1028" s="117"/>
      <c r="F1028" s="118"/>
      <c r="G1028" s="119" t="str">
        <f t="shared" si="1"/>
        <v/>
      </c>
      <c r="H1028" s="119" t="str">
        <f t="array" ref="H1028">IF(F1028="","",INDEX(Cripto!$A$1:$A$12,G1028))</f>
        <v/>
      </c>
    </row>
    <row r="1029" spans="2:8">
      <c r="B1029" s="116"/>
      <c r="C1029" s="16"/>
      <c r="D1029" s="18"/>
      <c r="E1029" s="117"/>
      <c r="F1029" s="118"/>
      <c r="G1029" s="119" t="str">
        <f t="shared" si="1"/>
        <v/>
      </c>
      <c r="H1029" s="119" t="str">
        <f t="array" ref="H1029">IF(F1029="","",INDEX(Cripto!$A$1:$A$12,G1029))</f>
        <v/>
      </c>
    </row>
    <row r="1030" spans="2:8">
      <c r="B1030" s="116"/>
      <c r="C1030" s="16"/>
      <c r="D1030" s="18"/>
      <c r="E1030" s="117"/>
      <c r="F1030" s="118"/>
      <c r="G1030" s="119" t="str">
        <f t="shared" si="1"/>
        <v/>
      </c>
      <c r="H1030" s="119" t="str">
        <f t="array" ref="H1030">IF(F1030="","",INDEX(Cripto!$A$1:$A$12,G1030))</f>
        <v/>
      </c>
    </row>
    <row r="1031" spans="2:8">
      <c r="B1031" s="116"/>
      <c r="C1031" s="16"/>
      <c r="D1031" s="18"/>
      <c r="E1031" s="117"/>
      <c r="F1031" s="118"/>
      <c r="G1031" s="119" t="str">
        <f t="shared" si="1"/>
        <v/>
      </c>
      <c r="H1031" s="119" t="str">
        <f t="array" ref="H1031">IF(F1031="","",INDEX(Cripto!$A$1:$A$12,G1031))</f>
        <v/>
      </c>
    </row>
    <row r="1032" spans="2:8">
      <c r="B1032" s="116"/>
      <c r="C1032" s="16"/>
      <c r="D1032" s="18"/>
      <c r="E1032" s="117"/>
      <c r="F1032" s="118"/>
      <c r="G1032" s="119" t="str">
        <f t="shared" si="1"/>
        <v/>
      </c>
      <c r="H1032" s="119" t="str">
        <f t="array" ref="H1032">IF(F1032="","",INDEX(Cripto!$A$1:$A$12,G1032))</f>
        <v/>
      </c>
    </row>
    <row r="1033" spans="2:8">
      <c r="B1033" s="116"/>
      <c r="C1033" s="16"/>
      <c r="D1033" s="18"/>
      <c r="E1033" s="117"/>
      <c r="F1033" s="118"/>
      <c r="G1033" s="119" t="str">
        <f t="shared" si="1"/>
        <v/>
      </c>
      <c r="H1033" s="119" t="str">
        <f t="array" ref="H1033">IF(F1033="","",INDEX(Cripto!$A$1:$A$12,G1033))</f>
        <v/>
      </c>
    </row>
    <row r="1034" spans="2:8">
      <c r="B1034" s="116"/>
      <c r="C1034" s="16"/>
      <c r="D1034" s="18"/>
      <c r="E1034" s="117"/>
      <c r="F1034" s="118"/>
      <c r="G1034" s="119" t="str">
        <f t="shared" si="1"/>
        <v/>
      </c>
      <c r="H1034" s="119" t="str">
        <f t="array" ref="H1034">IF(F1034="","",INDEX(Cripto!$A$1:$A$12,G1034))</f>
        <v/>
      </c>
    </row>
    <row r="1035" spans="2:8">
      <c r="B1035" s="116"/>
      <c r="C1035" s="16"/>
      <c r="D1035" s="18"/>
      <c r="E1035" s="117"/>
      <c r="F1035" s="118"/>
      <c r="G1035" s="119" t="str">
        <f t="shared" si="1"/>
        <v/>
      </c>
      <c r="H1035" s="119" t="str">
        <f t="array" ref="H1035">IF(F1035="","",INDEX(Cripto!$A$1:$A$12,G1035))</f>
        <v/>
      </c>
    </row>
    <row r="1036" spans="2:8">
      <c r="B1036" s="116"/>
      <c r="C1036" s="16"/>
      <c r="D1036" s="18"/>
      <c r="E1036" s="117"/>
      <c r="F1036" s="118"/>
      <c r="G1036" s="119" t="str">
        <f t="shared" si="1"/>
        <v/>
      </c>
      <c r="H1036" s="119" t="str">
        <f t="array" ref="H1036">IF(F1036="","",INDEX(Cripto!$A$1:$A$12,G1036))</f>
        <v/>
      </c>
    </row>
    <row r="1037" spans="2:8">
      <c r="B1037" s="116"/>
      <c r="C1037" s="16"/>
      <c r="D1037" s="18"/>
      <c r="E1037" s="117"/>
      <c r="F1037" s="118"/>
      <c r="G1037" s="119" t="str">
        <f t="shared" si="1"/>
        <v/>
      </c>
      <c r="H1037" s="119" t="str">
        <f t="array" ref="H1037">IF(F1037="","",INDEX(Cripto!$A$1:$A$12,G1037))</f>
        <v/>
      </c>
    </row>
    <row r="1038" spans="2:8">
      <c r="B1038" s="116"/>
      <c r="C1038" s="16"/>
      <c r="D1038" s="18"/>
      <c r="E1038" s="117"/>
      <c r="F1038" s="118"/>
      <c r="G1038" s="119" t="str">
        <f t="shared" si="1"/>
        <v/>
      </c>
      <c r="H1038" s="119" t="str">
        <f t="array" ref="H1038">IF(F1038="","",INDEX(Cripto!$A$1:$A$12,G1038))</f>
        <v/>
      </c>
    </row>
    <row r="1039" spans="2:8">
      <c r="B1039" s="116"/>
      <c r="C1039" s="16"/>
      <c r="D1039" s="18"/>
      <c r="E1039" s="117"/>
      <c r="F1039" s="118"/>
      <c r="G1039" s="119" t="str">
        <f t="shared" si="1"/>
        <v/>
      </c>
      <c r="H1039" s="119" t="str">
        <f t="array" ref="H1039">IF(F1039="","",INDEX(Cripto!$A$1:$A$12,G1039))</f>
        <v/>
      </c>
    </row>
    <row r="1040" spans="2:8">
      <c r="B1040" s="116"/>
      <c r="C1040" s="16"/>
      <c r="D1040" s="18"/>
      <c r="E1040" s="117"/>
      <c r="F1040" s="118"/>
      <c r="G1040" s="119" t="str">
        <f t="shared" si="1"/>
        <v/>
      </c>
      <c r="H1040" s="119" t="str">
        <f t="array" ref="H1040">IF(F1040="","",INDEX(Cripto!$A$1:$A$12,G1040))</f>
        <v/>
      </c>
    </row>
    <row r="1041" spans="2:8">
      <c r="B1041" s="116"/>
      <c r="C1041" s="16"/>
      <c r="D1041" s="18"/>
      <c r="E1041" s="117"/>
      <c r="F1041" s="118"/>
      <c r="G1041" s="119" t="str">
        <f t="shared" si="1"/>
        <v/>
      </c>
      <c r="H1041" s="119" t="str">
        <f t="array" ref="H1041">IF(F1041="","",INDEX(Cripto!$A$1:$A$12,G1041))</f>
        <v/>
      </c>
    </row>
    <row r="1042" spans="2:8">
      <c r="B1042" s="116"/>
      <c r="C1042" s="16"/>
      <c r="D1042" s="18"/>
      <c r="E1042" s="117"/>
      <c r="F1042" s="118"/>
      <c r="G1042" s="119" t="str">
        <f t="shared" si="1"/>
        <v/>
      </c>
      <c r="H1042" s="119" t="str">
        <f t="array" ref="H1042">IF(F1042="","",INDEX(Cripto!$A$1:$A$12,G1042))</f>
        <v/>
      </c>
    </row>
    <row r="1043" spans="2:8">
      <c r="B1043" s="116"/>
      <c r="C1043" s="16"/>
      <c r="D1043" s="18"/>
      <c r="E1043" s="117"/>
      <c r="F1043" s="118"/>
      <c r="G1043" s="119" t="str">
        <f t="shared" si="1"/>
        <v/>
      </c>
      <c r="H1043" s="119" t="str">
        <f t="array" ref="H1043">IF(F1043="","",INDEX(Cripto!$A$1:$A$12,G1043))</f>
        <v/>
      </c>
    </row>
    <row r="1044" spans="2:8">
      <c r="B1044" s="116"/>
      <c r="C1044" s="16"/>
      <c r="D1044" s="18"/>
      <c r="E1044" s="117"/>
      <c r="F1044" s="118"/>
      <c r="G1044" s="119" t="str">
        <f t="shared" si="1"/>
        <v/>
      </c>
      <c r="H1044" s="119" t="str">
        <f t="array" ref="H1044">IF(F1044="","",INDEX(Cripto!$A$1:$A$12,G1044))</f>
        <v/>
      </c>
    </row>
    <row r="1045" spans="2:8">
      <c r="B1045" s="116"/>
      <c r="C1045" s="16"/>
      <c r="D1045" s="18"/>
      <c r="E1045" s="117"/>
      <c r="F1045" s="118"/>
      <c r="G1045" s="119" t="str">
        <f t="shared" si="1"/>
        <v/>
      </c>
      <c r="H1045" s="119" t="str">
        <f t="array" ref="H1045">IF(F1045="","",INDEX(Cripto!$A$1:$A$12,G1045))</f>
        <v/>
      </c>
    </row>
    <row r="1046" spans="2:8">
      <c r="B1046" s="116"/>
      <c r="C1046" s="16"/>
      <c r="D1046" s="18"/>
      <c r="E1046" s="117"/>
      <c r="F1046" s="118"/>
      <c r="G1046" s="119" t="str">
        <f t="shared" si="1"/>
        <v/>
      </c>
      <c r="H1046" s="119" t="str">
        <f t="array" ref="H1046">IF(F1046="","",INDEX(Cripto!$A$1:$A$12,G1046))</f>
        <v/>
      </c>
    </row>
    <row r="1047" spans="2:8">
      <c r="B1047" s="116"/>
      <c r="C1047" s="16"/>
      <c r="D1047" s="18"/>
      <c r="E1047" s="117"/>
      <c r="F1047" s="118"/>
      <c r="G1047" s="119" t="str">
        <f t="shared" si="1"/>
        <v/>
      </c>
      <c r="H1047" s="119" t="str">
        <f t="array" ref="H1047">IF(F1047="","",INDEX(Cripto!$A$1:$A$12,G1047))</f>
        <v/>
      </c>
    </row>
    <row r="1048" spans="2:8">
      <c r="B1048" s="116"/>
      <c r="C1048" s="16"/>
      <c r="D1048" s="18"/>
      <c r="E1048" s="117"/>
      <c r="F1048" s="118"/>
      <c r="G1048" s="119" t="str">
        <f t="shared" si="1"/>
        <v/>
      </c>
      <c r="H1048" s="119" t="str">
        <f t="array" ref="H1048">IF(F1048="","",INDEX(Cripto!$A$1:$A$12,G1048))</f>
        <v/>
      </c>
    </row>
    <row r="1049" spans="2:8">
      <c r="B1049" s="116"/>
      <c r="C1049" s="16"/>
      <c r="D1049" s="18"/>
      <c r="E1049" s="117"/>
      <c r="F1049" s="118"/>
      <c r="G1049" s="119" t="str">
        <f t="shared" si="1"/>
        <v/>
      </c>
      <c r="H1049" s="119" t="str">
        <f t="array" ref="H1049">IF(F1049="","",INDEX(Cripto!$A$1:$A$12,G1049))</f>
        <v/>
      </c>
    </row>
    <row r="1050" spans="2:8">
      <c r="B1050" s="116"/>
      <c r="C1050" s="16"/>
      <c r="D1050" s="18"/>
      <c r="E1050" s="117"/>
      <c r="F1050" s="118"/>
      <c r="G1050" s="119" t="str">
        <f t="shared" si="1"/>
        <v/>
      </c>
      <c r="H1050" s="119" t="str">
        <f t="array" ref="H1050">IF(F1050="","",INDEX(Cripto!$A$1:$A$12,G1050))</f>
        <v/>
      </c>
    </row>
    <row r="1051" spans="2:8">
      <c r="B1051" s="116"/>
      <c r="C1051" s="16"/>
      <c r="D1051" s="18"/>
      <c r="E1051" s="117"/>
      <c r="F1051" s="118"/>
      <c r="G1051" s="119" t="str">
        <f t="shared" si="1"/>
        <v/>
      </c>
      <c r="H1051" s="119" t="str">
        <f t="array" ref="H1051">IF(F1051="","",INDEX(Cripto!$A$1:$A$12,G1051))</f>
        <v/>
      </c>
    </row>
    <row r="1052" spans="2:8">
      <c r="B1052" s="116"/>
      <c r="C1052" s="16"/>
      <c r="D1052" s="18"/>
      <c r="E1052" s="117"/>
      <c r="F1052" s="118"/>
      <c r="G1052" s="119" t="str">
        <f t="shared" si="1"/>
        <v/>
      </c>
      <c r="H1052" s="119" t="str">
        <f t="array" ref="H1052">IF(F1052="","",INDEX(Cripto!$A$1:$A$12,G1052))</f>
        <v/>
      </c>
    </row>
    <row r="1053" spans="2:8">
      <c r="B1053" s="116"/>
      <c r="C1053" s="16"/>
      <c r="D1053" s="18"/>
      <c r="E1053" s="117"/>
      <c r="F1053" s="118"/>
      <c r="G1053" s="119" t="str">
        <f t="shared" si="1"/>
        <v/>
      </c>
      <c r="H1053" s="119" t="str">
        <f t="array" ref="H1053">IF(F1053="","",INDEX(Cripto!$A$1:$A$12,G1053))</f>
        <v/>
      </c>
    </row>
    <row r="1054" spans="2:8">
      <c r="B1054" s="116"/>
      <c r="C1054" s="16"/>
      <c r="D1054" s="18"/>
      <c r="E1054" s="117"/>
      <c r="F1054" s="118"/>
      <c r="G1054" s="119" t="str">
        <f t="shared" si="1"/>
        <v/>
      </c>
      <c r="H1054" s="119" t="str">
        <f t="array" ref="H1054">IF(F1054="","",INDEX(Cripto!$A$1:$A$12,G1054))</f>
        <v/>
      </c>
    </row>
    <row r="1055" spans="2:8">
      <c r="B1055" s="116"/>
      <c r="C1055" s="16"/>
      <c r="D1055" s="18"/>
      <c r="E1055" s="117"/>
      <c r="F1055" s="118"/>
      <c r="G1055" s="119" t="str">
        <f t="shared" si="1"/>
        <v/>
      </c>
      <c r="H1055" s="119" t="str">
        <f t="array" ref="H1055">IF(F1055="","",INDEX(Cripto!$A$1:$A$12,G1055))</f>
        <v/>
      </c>
    </row>
    <row r="1056" spans="2:8">
      <c r="B1056" s="116"/>
      <c r="C1056" s="16"/>
      <c r="D1056" s="18"/>
      <c r="E1056" s="117"/>
      <c r="F1056" s="118"/>
      <c r="G1056" s="119" t="str">
        <f t="shared" si="1"/>
        <v/>
      </c>
      <c r="H1056" s="119" t="str">
        <f t="array" ref="H1056">IF(F1056="","",INDEX(Cripto!$A$1:$A$12,G1056))</f>
        <v/>
      </c>
    </row>
    <row r="1057" spans="2:8">
      <c r="B1057" s="116"/>
      <c r="C1057" s="16"/>
      <c r="D1057" s="18"/>
      <c r="E1057" s="117"/>
      <c r="F1057" s="118"/>
      <c r="G1057" s="119" t="str">
        <f t="shared" si="1"/>
        <v/>
      </c>
      <c r="H1057" s="119" t="str">
        <f t="array" ref="H1057">IF(F1057="","",INDEX(Cripto!$A$1:$A$12,G1057))</f>
        <v/>
      </c>
    </row>
    <row r="1058" spans="2:8">
      <c r="B1058" s="116"/>
      <c r="C1058" s="16"/>
      <c r="D1058" s="18"/>
      <c r="E1058" s="117"/>
      <c r="F1058" s="118"/>
      <c r="G1058" s="119" t="str">
        <f t="shared" si="1"/>
        <v/>
      </c>
      <c r="H1058" s="119" t="str">
        <f t="array" ref="H1058">IF(F1058="","",INDEX(Cripto!$A$1:$A$12,G1058))</f>
        <v/>
      </c>
    </row>
    <row r="1059" spans="2:8">
      <c r="B1059" s="116"/>
      <c r="C1059" s="16"/>
      <c r="D1059" s="18"/>
      <c r="E1059" s="117"/>
      <c r="F1059" s="118"/>
      <c r="G1059" s="119" t="str">
        <f t="shared" si="1"/>
        <v/>
      </c>
      <c r="H1059" s="119" t="str">
        <f t="array" ref="H1059">IF(F1059="","",INDEX(Cripto!$A$1:$A$12,G1059))</f>
        <v/>
      </c>
    </row>
    <row r="1060" spans="2:8">
      <c r="B1060" s="116"/>
      <c r="C1060" s="16"/>
      <c r="D1060" s="18"/>
      <c r="E1060" s="117"/>
      <c r="F1060" s="118"/>
      <c r="G1060" s="119" t="str">
        <f t="shared" si="1"/>
        <v/>
      </c>
      <c r="H1060" s="119" t="str">
        <f t="array" ref="H1060">IF(F1060="","",INDEX(Cripto!$A$1:$A$12,G1060))</f>
        <v/>
      </c>
    </row>
    <row r="1061" spans="2:8">
      <c r="B1061" s="116"/>
      <c r="C1061" s="16"/>
      <c r="D1061" s="18"/>
      <c r="E1061" s="117"/>
      <c r="F1061" s="118"/>
      <c r="G1061" s="119" t="str">
        <f t="shared" si="1"/>
        <v/>
      </c>
      <c r="H1061" s="119" t="str">
        <f t="array" ref="H1061">IF(F1061="","",INDEX(Cripto!$A$1:$A$12,G1061))</f>
        <v/>
      </c>
    </row>
    <row r="1062" spans="2:8">
      <c r="B1062" s="116"/>
      <c r="C1062" s="16"/>
      <c r="D1062" s="18"/>
      <c r="E1062" s="117"/>
      <c r="F1062" s="118"/>
      <c r="G1062" s="119" t="str">
        <f t="shared" si="1"/>
        <v/>
      </c>
      <c r="H1062" s="119" t="str">
        <f t="array" ref="H1062">IF(F1062="","",INDEX(Cripto!$A$1:$A$12,G1062))</f>
        <v/>
      </c>
    </row>
    <row r="1063" spans="2:8">
      <c r="B1063" s="116"/>
      <c r="C1063" s="16"/>
      <c r="D1063" s="18"/>
      <c r="E1063" s="117"/>
      <c r="F1063" s="118"/>
      <c r="G1063" s="119" t="str">
        <f t="shared" si="1"/>
        <v/>
      </c>
      <c r="H1063" s="119" t="str">
        <f t="array" ref="H1063">IF(F1063="","",INDEX(Cripto!$A$1:$A$12,G1063))</f>
        <v/>
      </c>
    </row>
    <row r="1064" spans="2:8">
      <c r="B1064" s="116"/>
      <c r="C1064" s="16"/>
      <c r="D1064" s="18"/>
      <c r="E1064" s="117"/>
      <c r="F1064" s="118"/>
      <c r="G1064" s="119" t="str">
        <f t="shared" si="1"/>
        <v/>
      </c>
      <c r="H1064" s="119" t="str">
        <f t="array" ref="H1064">IF(F1064="","",INDEX(Cripto!$A$1:$A$12,G1064))</f>
        <v/>
      </c>
    </row>
    <row r="1065" spans="2:8">
      <c r="B1065" s="116"/>
      <c r="C1065" s="16"/>
      <c r="D1065" s="18"/>
      <c r="E1065" s="117"/>
      <c r="F1065" s="118"/>
      <c r="G1065" s="119" t="str">
        <f t="shared" si="1"/>
        <v/>
      </c>
      <c r="H1065" s="119" t="str">
        <f t="array" ref="H1065">IF(F1065="","",INDEX(Cripto!$A$1:$A$12,G1065))</f>
        <v/>
      </c>
    </row>
    <row r="1066" spans="2:8">
      <c r="B1066" s="116"/>
      <c r="C1066" s="16"/>
      <c r="D1066" s="18"/>
      <c r="E1066" s="117"/>
      <c r="F1066" s="118"/>
      <c r="G1066" s="119" t="str">
        <f t="shared" si="1"/>
        <v/>
      </c>
      <c r="H1066" s="119" t="str">
        <f t="array" ref="H1066">IF(F1066="","",INDEX(Cripto!$A$1:$A$12,G1066))</f>
        <v/>
      </c>
    </row>
    <row r="1067" spans="2:8">
      <c r="B1067" s="116"/>
      <c r="C1067" s="16"/>
      <c r="D1067" s="18"/>
      <c r="E1067" s="117"/>
      <c r="F1067" s="118"/>
      <c r="G1067" s="119" t="str">
        <f t="shared" si="1"/>
        <v/>
      </c>
      <c r="H1067" s="119" t="str">
        <f t="array" ref="H1067">IF(F1067="","",INDEX(Cripto!$A$1:$A$12,G1067))</f>
        <v/>
      </c>
    </row>
    <row r="1068" spans="2:8">
      <c r="B1068" s="116"/>
      <c r="C1068" s="16"/>
      <c r="D1068" s="18"/>
      <c r="E1068" s="117"/>
      <c r="F1068" s="118"/>
      <c r="G1068" s="119" t="str">
        <f t="shared" si="1"/>
        <v/>
      </c>
      <c r="H1068" s="119" t="str">
        <f t="array" ref="H1068">IF(F1068="","",INDEX(Cripto!$A$1:$A$12,G1068))</f>
        <v/>
      </c>
    </row>
    <row r="1069" spans="2:8">
      <c r="B1069" s="116"/>
      <c r="C1069" s="16"/>
      <c r="D1069" s="18"/>
      <c r="E1069" s="117"/>
      <c r="F1069" s="118"/>
      <c r="G1069" s="119" t="str">
        <f t="shared" si="1"/>
        <v/>
      </c>
      <c r="H1069" s="119" t="str">
        <f t="array" ref="H1069">IF(F1069="","",INDEX(Cripto!$A$1:$A$12,G1069))</f>
        <v/>
      </c>
    </row>
    <row r="1070" spans="2:8">
      <c r="B1070" s="116"/>
      <c r="C1070" s="16"/>
      <c r="D1070" s="18"/>
      <c r="E1070" s="117"/>
      <c r="F1070" s="118"/>
      <c r="G1070" s="119" t="str">
        <f t="shared" si="1"/>
        <v/>
      </c>
      <c r="H1070" s="119" t="str">
        <f t="array" ref="H1070">IF(F1070="","",INDEX(Cripto!$A$1:$A$12,G1070))</f>
        <v/>
      </c>
    </row>
    <row r="1071" spans="2:8">
      <c r="B1071" s="116"/>
      <c r="C1071" s="16"/>
      <c r="D1071" s="18"/>
      <c r="E1071" s="117"/>
      <c r="F1071" s="118"/>
      <c r="G1071" s="119" t="str">
        <f t="shared" si="1"/>
        <v/>
      </c>
      <c r="H1071" s="119" t="str">
        <f t="array" ref="H1071">IF(F1071="","",INDEX(Cripto!$A$1:$A$12,G1071))</f>
        <v/>
      </c>
    </row>
    <row r="1072" spans="2:8">
      <c r="B1072" s="116"/>
      <c r="C1072" s="16"/>
      <c r="D1072" s="18"/>
      <c r="E1072" s="117"/>
      <c r="F1072" s="118"/>
      <c r="G1072" s="119" t="str">
        <f t="shared" si="1"/>
        <v/>
      </c>
      <c r="H1072" s="119" t="str">
        <f t="array" ref="H1072">IF(F1072="","",INDEX(Cripto!$A$1:$A$12,G1072))</f>
        <v/>
      </c>
    </row>
    <row r="1073" spans="2:8">
      <c r="B1073" s="116"/>
      <c r="C1073" s="16"/>
      <c r="D1073" s="18"/>
      <c r="E1073" s="117"/>
      <c r="F1073" s="118"/>
      <c r="G1073" s="119" t="str">
        <f t="shared" si="1"/>
        <v/>
      </c>
      <c r="H1073" s="119" t="str">
        <f t="array" ref="H1073">IF(F1073="","",INDEX(Cripto!$A$1:$A$12,G1073))</f>
        <v/>
      </c>
    </row>
    <row r="1074" spans="2:8">
      <c r="B1074" s="116"/>
      <c r="C1074" s="16"/>
      <c r="D1074" s="18"/>
      <c r="E1074" s="117"/>
      <c r="F1074" s="118"/>
      <c r="G1074" s="119" t="str">
        <f t="shared" si="1"/>
        <v/>
      </c>
      <c r="H1074" s="119" t="str">
        <f t="array" ref="H1074">IF(F1074="","",INDEX(Cripto!$A$1:$A$12,G1074))</f>
        <v/>
      </c>
    </row>
    <row r="1075" spans="2:8">
      <c r="B1075" s="116"/>
      <c r="C1075" s="16"/>
      <c r="D1075" s="18"/>
      <c r="E1075" s="117"/>
      <c r="F1075" s="118"/>
      <c r="G1075" s="119" t="str">
        <f t="shared" si="1"/>
        <v/>
      </c>
      <c r="H1075" s="119" t="str">
        <f t="array" ref="H1075">IF(F1075="","",INDEX(Cripto!$A$1:$A$12,G1075))</f>
        <v/>
      </c>
    </row>
    <row r="1076" spans="2:8">
      <c r="B1076" s="116"/>
      <c r="C1076" s="16"/>
      <c r="D1076" s="18"/>
      <c r="E1076" s="117"/>
      <c r="F1076" s="118"/>
      <c r="G1076" s="119" t="str">
        <f t="shared" si="1"/>
        <v/>
      </c>
      <c r="H1076" s="119" t="str">
        <f t="array" ref="H1076">IF(F1076="","",INDEX(Cripto!$A$1:$A$12,G1076))</f>
        <v/>
      </c>
    </row>
    <row r="1077" spans="2:8">
      <c r="B1077" s="116"/>
      <c r="C1077" s="16"/>
      <c r="D1077" s="18"/>
      <c r="E1077" s="117"/>
      <c r="F1077" s="118"/>
      <c r="G1077" s="119" t="str">
        <f t="shared" si="1"/>
        <v/>
      </c>
      <c r="H1077" s="119" t="str">
        <f t="array" ref="H1077">IF(F1077="","",INDEX(Cripto!$A$1:$A$12,G1077))</f>
        <v/>
      </c>
    </row>
    <row r="1078" spans="2:8">
      <c r="B1078" s="116"/>
      <c r="C1078" s="16"/>
      <c r="D1078" s="18"/>
      <c r="E1078" s="117"/>
      <c r="F1078" s="118"/>
      <c r="G1078" s="119" t="str">
        <f t="shared" si="1"/>
        <v/>
      </c>
      <c r="H1078" s="119" t="str">
        <f t="array" ref="H1078">IF(F1078="","",INDEX(Cripto!$A$1:$A$12,G1078))</f>
        <v/>
      </c>
    </row>
    <row r="1079" spans="2:8">
      <c r="B1079" s="116"/>
      <c r="C1079" s="16"/>
      <c r="D1079" s="18"/>
      <c r="E1079" s="117"/>
      <c r="F1079" s="118"/>
      <c r="G1079" s="119" t="str">
        <f t="shared" si="1"/>
        <v/>
      </c>
      <c r="H1079" s="119" t="str">
        <f t="array" ref="H1079">IF(F1079="","",INDEX(Cripto!$A$1:$A$12,G1079))</f>
        <v/>
      </c>
    </row>
    <row r="1080" spans="2:8">
      <c r="B1080" s="116"/>
      <c r="C1080" s="16"/>
      <c r="D1080" s="18"/>
      <c r="E1080" s="117"/>
      <c r="F1080" s="118"/>
      <c r="G1080" s="119" t="str">
        <f t="shared" si="1"/>
        <v/>
      </c>
      <c r="H1080" s="119" t="str">
        <f t="array" ref="H1080">IF(F1080="","",INDEX(Cripto!$A$1:$A$12,G1080))</f>
        <v/>
      </c>
    </row>
    <row r="1081" spans="2:8">
      <c r="B1081" s="116"/>
      <c r="C1081" s="16"/>
      <c r="D1081" s="18"/>
      <c r="E1081" s="117"/>
      <c r="F1081" s="118"/>
      <c r="G1081" s="119" t="str">
        <f t="shared" si="1"/>
        <v/>
      </c>
      <c r="H1081" s="119" t="str">
        <f t="array" ref="H1081">IF(F1081="","",INDEX(Cripto!$A$1:$A$12,G1081))</f>
        <v/>
      </c>
    </row>
    <row r="1082" spans="2:8">
      <c r="B1082" s="116"/>
      <c r="C1082" s="16"/>
      <c r="D1082" s="18"/>
      <c r="E1082" s="117"/>
      <c r="F1082" s="118"/>
      <c r="G1082" s="119" t="str">
        <f t="shared" si="1"/>
        <v/>
      </c>
      <c r="H1082" s="119" t="str">
        <f t="array" ref="H1082">IF(F1082="","",INDEX(Cripto!$A$1:$A$12,G1082))</f>
        <v/>
      </c>
    </row>
    <row r="1083" spans="2:8">
      <c r="B1083" s="116"/>
      <c r="C1083" s="16"/>
      <c r="D1083" s="18"/>
      <c r="E1083" s="117"/>
      <c r="F1083" s="118"/>
      <c r="G1083" s="119" t="str">
        <f t="shared" si="1"/>
        <v/>
      </c>
      <c r="H1083" s="119" t="str">
        <f t="array" ref="H1083">IF(F1083="","",INDEX(Cripto!$A$1:$A$12,G1083))</f>
        <v/>
      </c>
    </row>
    <row r="1084" spans="2:8">
      <c r="B1084" s="116"/>
      <c r="C1084" s="16"/>
      <c r="D1084" s="18"/>
      <c r="E1084" s="117"/>
      <c r="F1084" s="118"/>
      <c r="G1084" s="119" t="str">
        <f t="shared" si="1"/>
        <v/>
      </c>
      <c r="H1084" s="119" t="str">
        <f t="array" ref="H1084">IF(F1084="","",INDEX(Cripto!$A$1:$A$12,G1084))</f>
        <v/>
      </c>
    </row>
    <row r="1085" spans="2:8">
      <c r="B1085" s="116"/>
      <c r="C1085" s="16"/>
      <c r="D1085" s="18"/>
      <c r="E1085" s="117"/>
      <c r="F1085" s="118"/>
      <c r="G1085" s="119" t="str">
        <f t="shared" si="1"/>
        <v/>
      </c>
      <c r="H1085" s="119" t="str">
        <f t="array" ref="H1085">IF(F1085="","",INDEX(Cripto!$A$1:$A$12,G1085))</f>
        <v/>
      </c>
    </row>
    <row r="1086" spans="2:8">
      <c r="B1086" s="116"/>
      <c r="C1086" s="16"/>
      <c r="D1086" s="18"/>
      <c r="E1086" s="117"/>
      <c r="F1086" s="118"/>
      <c r="G1086" s="119" t="str">
        <f t="shared" si="1"/>
        <v/>
      </c>
      <c r="H1086" s="119" t="str">
        <f t="array" ref="H1086">IF(F1086="","",INDEX(Cripto!$A$1:$A$12,G1086))</f>
        <v/>
      </c>
    </row>
    <row r="1087" spans="2:8">
      <c r="B1087" s="116"/>
      <c r="C1087" s="16"/>
      <c r="D1087" s="18"/>
      <c r="E1087" s="117"/>
      <c r="F1087" s="118"/>
      <c r="G1087" s="119" t="str">
        <f t="shared" si="1"/>
        <v/>
      </c>
      <c r="H1087" s="119" t="str">
        <f t="array" ref="H1087">IF(F1087="","",INDEX(Cripto!$A$1:$A$12,G1087))</f>
        <v/>
      </c>
    </row>
    <row r="1088" spans="2:8">
      <c r="B1088" s="116"/>
      <c r="C1088" s="16"/>
      <c r="D1088" s="18"/>
      <c r="E1088" s="117"/>
      <c r="F1088" s="118"/>
      <c r="G1088" s="119" t="str">
        <f t="shared" si="1"/>
        <v/>
      </c>
      <c r="H1088" s="119" t="str">
        <f t="array" ref="H1088">IF(F1088="","",INDEX(Cripto!$A$1:$A$12,G1088))</f>
        <v/>
      </c>
    </row>
    <row r="1089" spans="2:8">
      <c r="B1089" s="116"/>
      <c r="C1089" s="16"/>
      <c r="D1089" s="18"/>
      <c r="E1089" s="117"/>
      <c r="F1089" s="118"/>
      <c r="G1089" s="119" t="str">
        <f t="shared" si="1"/>
        <v/>
      </c>
      <c r="H1089" s="119" t="str">
        <f t="array" ref="H1089">IF(F1089="","",INDEX(Cripto!$A$1:$A$12,G1089))</f>
        <v/>
      </c>
    </row>
    <row r="1090" spans="2:8">
      <c r="B1090" s="116"/>
      <c r="C1090" s="16"/>
      <c r="D1090" s="18"/>
      <c r="E1090" s="117"/>
      <c r="F1090" s="118"/>
      <c r="G1090" s="119" t="str">
        <f t="shared" si="1"/>
        <v/>
      </c>
      <c r="H1090" s="119" t="str">
        <f t="array" ref="H1090">IF(F1090="","",INDEX(Cripto!$A$1:$A$12,G1090))</f>
        <v/>
      </c>
    </row>
    <row r="1091" spans="2:8">
      <c r="B1091" s="116"/>
      <c r="C1091" s="16"/>
      <c r="D1091" s="18"/>
      <c r="E1091" s="117"/>
      <c r="F1091" s="118"/>
      <c r="G1091" s="119" t="str">
        <f t="shared" si="1"/>
        <v/>
      </c>
      <c r="H1091" s="119" t="str">
        <f t="array" ref="H1091">IF(F1091="","",INDEX(Cripto!$A$1:$A$12,G1091))</f>
        <v/>
      </c>
    </row>
    <row r="1092" spans="2:8">
      <c r="B1092" s="116"/>
      <c r="C1092" s="16"/>
      <c r="D1092" s="18"/>
      <c r="E1092" s="117"/>
      <c r="F1092" s="118"/>
      <c r="G1092" s="119" t="str">
        <f t="shared" si="1"/>
        <v/>
      </c>
      <c r="H1092" s="119" t="str">
        <f t="array" ref="H1092">IF(F1092="","",INDEX(Cripto!$A$1:$A$12,G1092))</f>
        <v/>
      </c>
    </row>
    <row r="1093" spans="2:8">
      <c r="B1093" s="116"/>
      <c r="C1093" s="16"/>
      <c r="D1093" s="18"/>
      <c r="E1093" s="117"/>
      <c r="F1093" s="118"/>
      <c r="G1093" s="119" t="str">
        <f t="shared" si="1"/>
        <v/>
      </c>
      <c r="H1093" s="119" t="str">
        <f t="array" ref="H1093">IF(F1093="","",INDEX(Cripto!$A$1:$A$12,G1093))</f>
        <v/>
      </c>
    </row>
    <row r="1094" spans="2:8">
      <c r="B1094" s="116"/>
      <c r="C1094" s="16"/>
      <c r="D1094" s="18"/>
      <c r="E1094" s="117"/>
      <c r="F1094" s="118"/>
      <c r="G1094" s="119" t="str">
        <f t="shared" si="1"/>
        <v/>
      </c>
      <c r="H1094" s="119" t="str">
        <f t="array" ref="H1094">IF(F1094="","",INDEX(Cripto!$A$1:$A$12,G1094))</f>
        <v/>
      </c>
    </row>
    <row r="1095" spans="2:8">
      <c r="B1095" s="116"/>
      <c r="C1095" s="16"/>
      <c r="D1095" s="18"/>
      <c r="E1095" s="117"/>
      <c r="F1095" s="118"/>
      <c r="G1095" s="119" t="str">
        <f t="shared" si="1"/>
        <v/>
      </c>
      <c r="H1095" s="119" t="str">
        <f t="array" ref="H1095">IF(F1095="","",INDEX(Cripto!$A$1:$A$12,G1095))</f>
        <v/>
      </c>
    </row>
    <row r="1096" spans="2:8">
      <c r="B1096" s="116"/>
      <c r="C1096" s="16"/>
      <c r="D1096" s="18"/>
      <c r="E1096" s="117"/>
      <c r="F1096" s="118"/>
      <c r="G1096" s="119" t="str">
        <f t="shared" si="1"/>
        <v/>
      </c>
      <c r="H1096" s="119" t="str">
        <f t="array" ref="H1096">IF(F1096="","",INDEX(Cripto!$A$1:$A$12,G1096))</f>
        <v/>
      </c>
    </row>
    <row r="1097" spans="2:8">
      <c r="B1097" s="129"/>
      <c r="C1097" s="130"/>
      <c r="D1097" s="131"/>
      <c r="E1097" s="132"/>
      <c r="F1097" s="129"/>
      <c r="G1097" s="129"/>
      <c r="H1097" s="129"/>
    </row>
    <row r="1098" spans="2:8">
      <c r="B1098" s="129"/>
      <c r="C1098" s="130"/>
      <c r="D1098" s="131"/>
      <c r="E1098" s="132"/>
      <c r="F1098" s="129"/>
      <c r="G1098" s="129"/>
      <c r="H1098" s="129"/>
    </row>
    <row r="1099" spans="2:8">
      <c r="B1099" s="129"/>
      <c r="C1099" s="130"/>
      <c r="D1099" s="131"/>
      <c r="E1099" s="132"/>
      <c r="F1099" s="129"/>
      <c r="G1099" s="129"/>
      <c r="H1099" s="129"/>
    </row>
    <row r="1100" spans="2:8">
      <c r="B1100" s="129"/>
      <c r="C1100" s="130"/>
      <c r="D1100" s="131"/>
      <c r="E1100" s="132"/>
      <c r="F1100" s="129"/>
      <c r="G1100" s="129"/>
      <c r="H1100" s="129"/>
    </row>
    <row r="1101" spans="2:8">
      <c r="B1101" s="129"/>
      <c r="C1101" s="130"/>
      <c r="D1101" s="131"/>
      <c r="E1101" s="132"/>
      <c r="F1101" s="129"/>
      <c r="G1101" s="129"/>
      <c r="H1101" s="129"/>
    </row>
    <row r="1102" spans="2:8">
      <c r="B1102" s="129"/>
      <c r="C1102" s="130"/>
      <c r="D1102" s="131"/>
      <c r="E1102" s="132"/>
      <c r="F1102" s="129"/>
      <c r="G1102" s="129"/>
      <c r="H1102" s="129"/>
    </row>
    <row r="1103" spans="2:8">
      <c r="B1103" s="129"/>
      <c r="C1103" s="130"/>
      <c r="D1103" s="131"/>
      <c r="E1103" s="132"/>
      <c r="F1103" s="129"/>
      <c r="G1103" s="129"/>
      <c r="H1103" s="129"/>
    </row>
    <row r="1104" spans="2:8">
      <c r="B1104" s="129"/>
      <c r="C1104" s="130"/>
      <c r="D1104" s="131"/>
      <c r="E1104" s="132"/>
      <c r="F1104" s="129"/>
      <c r="G1104" s="129"/>
      <c r="H1104" s="129"/>
    </row>
    <row r="1105" spans="2:8">
      <c r="B1105" s="129"/>
      <c r="C1105" s="130"/>
      <c r="D1105" s="131"/>
      <c r="E1105" s="132"/>
      <c r="F1105" s="129"/>
      <c r="G1105" s="129"/>
      <c r="H1105" s="129"/>
    </row>
    <row r="1106" spans="2:8">
      <c r="B1106" s="129"/>
      <c r="C1106" s="130"/>
      <c r="D1106" s="131"/>
      <c r="E1106" s="132"/>
      <c r="F1106" s="129"/>
      <c r="G1106" s="129"/>
      <c r="H1106" s="129"/>
    </row>
    <row r="1107" spans="2:8">
      <c r="B1107" s="129"/>
      <c r="C1107" s="130"/>
      <c r="D1107" s="131"/>
      <c r="E1107" s="132"/>
      <c r="F1107" s="129"/>
      <c r="G1107" s="129"/>
      <c r="H1107" s="129"/>
    </row>
    <row r="1108" spans="2:8">
      <c r="B1108" s="129"/>
      <c r="C1108" s="130"/>
      <c r="D1108" s="131"/>
      <c r="E1108" s="132"/>
      <c r="F1108" s="129"/>
      <c r="G1108" s="129"/>
      <c r="H1108" s="129"/>
    </row>
    <row r="1109" spans="2:8">
      <c r="B1109" s="129"/>
      <c r="C1109" s="130"/>
      <c r="D1109" s="131"/>
      <c r="E1109" s="132"/>
      <c r="F1109" s="129"/>
      <c r="G1109" s="129"/>
      <c r="H1109" s="129"/>
    </row>
    <row r="1110" spans="2:8">
      <c r="B1110" s="129"/>
      <c r="C1110" s="130"/>
      <c r="D1110" s="131"/>
      <c r="E1110" s="132"/>
      <c r="F1110" s="129"/>
      <c r="G1110" s="129"/>
      <c r="H1110" s="129"/>
    </row>
    <row r="1111" spans="2:8">
      <c r="B1111" s="129"/>
      <c r="C1111" s="130"/>
      <c r="D1111" s="131"/>
      <c r="E1111" s="132"/>
      <c r="F1111" s="129"/>
      <c r="G1111" s="129"/>
      <c r="H1111" s="129"/>
    </row>
    <row r="1112" spans="2:8">
      <c r="B1112" s="129"/>
      <c r="C1112" s="130"/>
      <c r="D1112" s="131"/>
      <c r="E1112" s="132"/>
      <c r="F1112" s="129"/>
      <c r="G1112" s="129"/>
      <c r="H1112" s="129"/>
    </row>
    <row r="1113" spans="2:8">
      <c r="B1113" s="129"/>
      <c r="C1113" s="130"/>
      <c r="D1113" s="131"/>
      <c r="E1113" s="132"/>
      <c r="F1113" s="129"/>
      <c r="G1113" s="129"/>
      <c r="H1113" s="129"/>
    </row>
    <row r="1114" spans="2:8">
      <c r="B1114" s="129"/>
      <c r="C1114" s="130"/>
      <c r="D1114" s="131"/>
      <c r="E1114" s="132"/>
      <c r="F1114" s="129"/>
      <c r="G1114" s="129"/>
      <c r="H1114" s="129"/>
    </row>
    <row r="1115" spans="2:8">
      <c r="B1115" s="129"/>
      <c r="C1115" s="130"/>
      <c r="D1115" s="131"/>
      <c r="E1115" s="132"/>
      <c r="F1115" s="129"/>
      <c r="G1115" s="129"/>
      <c r="H1115" s="129"/>
    </row>
    <row r="1116" spans="2:8">
      <c r="B1116" s="129"/>
      <c r="C1116" s="130"/>
      <c r="D1116" s="131"/>
      <c r="E1116" s="132"/>
      <c r="F1116" s="129"/>
      <c r="G1116" s="129"/>
      <c r="H1116" s="129"/>
    </row>
    <row r="1117" spans="2:8">
      <c r="B1117" s="129"/>
      <c r="C1117" s="130"/>
      <c r="D1117" s="131"/>
      <c r="E1117" s="132"/>
      <c r="F1117" s="129"/>
      <c r="G1117" s="129"/>
      <c r="H1117" s="129"/>
    </row>
    <row r="1118" spans="2:8">
      <c r="B1118" s="129"/>
      <c r="C1118" s="130"/>
      <c r="D1118" s="131"/>
      <c r="E1118" s="132"/>
      <c r="F1118" s="129"/>
      <c r="G1118" s="129"/>
      <c r="H1118" s="129"/>
    </row>
    <row r="1119" spans="2:8">
      <c r="B1119" s="129"/>
      <c r="C1119" s="130"/>
      <c r="D1119" s="131"/>
      <c r="E1119" s="132"/>
      <c r="F1119" s="129"/>
      <c r="G1119" s="129"/>
      <c r="H1119" s="129"/>
    </row>
    <row r="1120" spans="2:8">
      <c r="B1120" s="129"/>
      <c r="C1120" s="130"/>
      <c r="D1120" s="131"/>
      <c r="E1120" s="132"/>
      <c r="F1120" s="129"/>
      <c r="G1120" s="129"/>
      <c r="H1120" s="129"/>
    </row>
    <row r="1121" spans="2:8">
      <c r="B1121" s="129"/>
      <c r="C1121" s="130"/>
      <c r="D1121" s="131"/>
      <c r="E1121" s="132"/>
      <c r="F1121" s="129"/>
      <c r="G1121" s="129"/>
      <c r="H1121" s="129"/>
    </row>
    <row r="1122" spans="2:8">
      <c r="B1122" s="129"/>
      <c r="C1122" s="130"/>
      <c r="D1122" s="131"/>
      <c r="E1122" s="132"/>
      <c r="F1122" s="129"/>
      <c r="G1122" s="129"/>
      <c r="H1122" s="129"/>
    </row>
    <row r="1123" spans="2:8">
      <c r="B1123" s="129"/>
      <c r="C1123" s="130"/>
      <c r="D1123" s="131"/>
      <c r="E1123" s="132"/>
      <c r="F1123" s="129"/>
      <c r="G1123" s="129"/>
      <c r="H1123" s="129"/>
    </row>
    <row r="1124" spans="2:8">
      <c r="B1124" s="129"/>
      <c r="C1124" s="130"/>
      <c r="D1124" s="131"/>
      <c r="E1124" s="132"/>
      <c r="F1124" s="129"/>
      <c r="G1124" s="129"/>
      <c r="H1124" s="129"/>
    </row>
    <row r="1125" spans="2:8">
      <c r="B1125" s="129"/>
      <c r="C1125" s="130"/>
      <c r="D1125" s="131"/>
      <c r="E1125" s="132"/>
      <c r="F1125" s="129"/>
      <c r="G1125" s="129"/>
      <c r="H1125" s="129"/>
    </row>
    <row r="1126" spans="2:8">
      <c r="B1126" s="129"/>
      <c r="C1126" s="130"/>
      <c r="D1126" s="131"/>
      <c r="E1126" s="132"/>
      <c r="F1126" s="129"/>
      <c r="G1126" s="129"/>
      <c r="H1126" s="129"/>
    </row>
    <row r="1127" spans="2:8">
      <c r="B1127" s="129"/>
      <c r="C1127" s="130"/>
      <c r="D1127" s="131"/>
      <c r="E1127" s="132"/>
      <c r="F1127" s="129"/>
      <c r="G1127" s="129"/>
      <c r="H1127" s="129"/>
    </row>
    <row r="1128" spans="2:8">
      <c r="B1128" s="129"/>
      <c r="C1128" s="130"/>
      <c r="D1128" s="131"/>
      <c r="E1128" s="132"/>
      <c r="F1128" s="129"/>
      <c r="G1128" s="129"/>
      <c r="H1128" s="129"/>
    </row>
    <row r="1129" spans="2:8">
      <c r="B1129" s="129"/>
      <c r="C1129" s="130"/>
      <c r="D1129" s="131"/>
      <c r="E1129" s="132"/>
      <c r="F1129" s="129"/>
      <c r="G1129" s="129"/>
      <c r="H1129" s="129"/>
    </row>
    <row r="1130" spans="2:8">
      <c r="B1130" s="129"/>
      <c r="C1130" s="130"/>
      <c r="D1130" s="131"/>
      <c r="E1130" s="132"/>
      <c r="F1130" s="129"/>
      <c r="G1130" s="129"/>
      <c r="H1130" s="129"/>
    </row>
    <row r="1131" spans="2:8">
      <c r="B1131" s="129"/>
      <c r="C1131" s="130"/>
      <c r="D1131" s="131"/>
      <c r="E1131" s="132"/>
      <c r="F1131" s="129"/>
      <c r="G1131" s="129"/>
      <c r="H1131" s="129"/>
    </row>
    <row r="1132" spans="2:8">
      <c r="B1132" s="129"/>
      <c r="C1132" s="130"/>
      <c r="D1132" s="131"/>
      <c r="E1132" s="132"/>
      <c r="F1132" s="129"/>
      <c r="G1132" s="129"/>
      <c r="H1132" s="129"/>
    </row>
    <row r="1133" spans="2:8">
      <c r="B1133" s="129"/>
      <c r="C1133" s="130"/>
      <c r="D1133" s="131"/>
      <c r="E1133" s="132"/>
      <c r="F1133" s="129"/>
      <c r="G1133" s="129"/>
      <c r="H1133" s="129"/>
    </row>
    <row r="1134" spans="2:8">
      <c r="B1134" s="129"/>
      <c r="C1134" s="130"/>
      <c r="D1134" s="131"/>
      <c r="E1134" s="132"/>
      <c r="F1134" s="129"/>
      <c r="G1134" s="129"/>
      <c r="H1134" s="129"/>
    </row>
    <row r="1135" spans="2:8">
      <c r="B1135" s="129"/>
      <c r="C1135" s="130"/>
      <c r="D1135" s="131"/>
      <c r="E1135" s="132"/>
      <c r="F1135" s="129"/>
      <c r="G1135" s="129"/>
      <c r="H1135" s="129"/>
    </row>
    <row r="1136" spans="2:8">
      <c r="B1136" s="129"/>
      <c r="C1136" s="130"/>
      <c r="D1136" s="131"/>
      <c r="E1136" s="132"/>
      <c r="F1136" s="129"/>
      <c r="G1136" s="129"/>
      <c r="H1136" s="129"/>
    </row>
    <row r="1137" spans="2:8">
      <c r="B1137" s="129"/>
      <c r="C1137" s="130"/>
      <c r="D1137" s="131"/>
      <c r="E1137" s="132"/>
      <c r="F1137" s="129"/>
      <c r="G1137" s="129"/>
      <c r="H1137" s="129"/>
    </row>
    <row r="1138" spans="2:8">
      <c r="B1138" s="129"/>
      <c r="C1138" s="130"/>
      <c r="D1138" s="131"/>
      <c r="E1138" s="132"/>
      <c r="F1138" s="129"/>
      <c r="G1138" s="129"/>
      <c r="H1138" s="129"/>
    </row>
    <row r="1139" spans="2:8">
      <c r="B1139" s="129"/>
      <c r="C1139" s="130"/>
      <c r="D1139" s="131"/>
      <c r="E1139" s="132"/>
      <c r="F1139" s="129"/>
      <c r="G1139" s="129"/>
      <c r="H1139" s="129"/>
    </row>
    <row r="1140" spans="2:8">
      <c r="B1140" s="129"/>
      <c r="C1140" s="130"/>
      <c r="D1140" s="131"/>
      <c r="E1140" s="132"/>
      <c r="F1140" s="129"/>
      <c r="G1140" s="129"/>
      <c r="H1140" s="129"/>
    </row>
    <row r="1141" spans="2:8">
      <c r="B1141" s="129"/>
      <c r="C1141" s="130"/>
      <c r="D1141" s="131"/>
      <c r="E1141" s="132"/>
      <c r="F1141" s="129"/>
      <c r="G1141" s="129"/>
      <c r="H1141" s="129"/>
    </row>
    <row r="1142" spans="2:8">
      <c r="B1142" s="129"/>
      <c r="C1142" s="130"/>
      <c r="D1142" s="131"/>
      <c r="E1142" s="132"/>
      <c r="F1142" s="129"/>
      <c r="G1142" s="129"/>
      <c r="H1142" s="129"/>
    </row>
    <row r="1143" spans="2:8">
      <c r="B1143" s="129"/>
      <c r="C1143" s="130"/>
      <c r="D1143" s="131"/>
      <c r="E1143" s="132"/>
      <c r="F1143" s="129"/>
      <c r="G1143" s="129"/>
      <c r="H1143" s="129"/>
    </row>
    <row r="1144" spans="2:8">
      <c r="B1144" s="129"/>
      <c r="C1144" s="130"/>
      <c r="D1144" s="131"/>
      <c r="E1144" s="132"/>
      <c r="F1144" s="129"/>
      <c r="G1144" s="129"/>
      <c r="H1144" s="129"/>
    </row>
    <row r="1145" spans="2:8">
      <c r="B1145" s="129"/>
      <c r="C1145" s="130"/>
      <c r="D1145" s="131"/>
      <c r="E1145" s="132"/>
      <c r="F1145" s="129"/>
      <c r="G1145" s="129"/>
      <c r="H1145" s="129"/>
    </row>
    <row r="1146" spans="2:8">
      <c r="B1146" s="129"/>
      <c r="C1146" s="130"/>
      <c r="D1146" s="131"/>
      <c r="E1146" s="132"/>
      <c r="F1146" s="129"/>
      <c r="G1146" s="129"/>
      <c r="H1146" s="129"/>
    </row>
    <row r="1147" spans="2:8">
      <c r="B1147" s="129"/>
      <c r="C1147" s="130"/>
      <c r="D1147" s="131"/>
      <c r="E1147" s="132"/>
      <c r="F1147" s="129"/>
      <c r="G1147" s="129"/>
      <c r="H1147" s="129"/>
    </row>
    <row r="1148" spans="2:8">
      <c r="B1148" s="129"/>
      <c r="C1148" s="130"/>
      <c r="D1148" s="131"/>
      <c r="E1148" s="132"/>
      <c r="F1148" s="129"/>
      <c r="G1148" s="129"/>
      <c r="H1148" s="129"/>
    </row>
    <row r="1149" spans="2:8">
      <c r="B1149" s="129"/>
      <c r="C1149" s="130"/>
      <c r="D1149" s="131"/>
      <c r="E1149" s="132"/>
      <c r="F1149" s="129"/>
      <c r="G1149" s="129"/>
      <c r="H1149" s="129"/>
    </row>
    <row r="1150" spans="2:8">
      <c r="B1150" s="129"/>
      <c r="C1150" s="130"/>
      <c r="D1150" s="131"/>
      <c r="E1150" s="132"/>
      <c r="F1150" s="129"/>
      <c r="G1150" s="129"/>
      <c r="H1150" s="129"/>
    </row>
    <row r="1151" spans="2:8">
      <c r="B1151" s="129"/>
      <c r="C1151" s="130"/>
      <c r="D1151" s="131"/>
      <c r="E1151" s="132"/>
      <c r="F1151" s="129"/>
      <c r="G1151" s="129"/>
      <c r="H1151" s="129"/>
    </row>
    <row r="1152" spans="2:8">
      <c r="B1152" s="129"/>
      <c r="C1152" s="130"/>
      <c r="D1152" s="131"/>
      <c r="E1152" s="132"/>
      <c r="F1152" s="129"/>
      <c r="G1152" s="129"/>
      <c r="H1152" s="129"/>
    </row>
    <row r="1153" spans="2:8">
      <c r="B1153" s="129"/>
      <c r="C1153" s="130"/>
      <c r="D1153" s="131"/>
      <c r="E1153" s="132"/>
      <c r="F1153" s="129"/>
      <c r="G1153" s="129"/>
      <c r="H1153" s="129"/>
    </row>
    <row r="1154" spans="2:8">
      <c r="B1154" s="129"/>
      <c r="C1154" s="130"/>
      <c r="D1154" s="131"/>
      <c r="E1154" s="132"/>
      <c r="F1154" s="129"/>
      <c r="G1154" s="129"/>
      <c r="H1154" s="129"/>
    </row>
    <row r="1155" spans="2:8">
      <c r="B1155" s="129"/>
      <c r="C1155" s="130"/>
      <c r="D1155" s="131"/>
      <c r="E1155" s="132"/>
      <c r="F1155" s="129"/>
      <c r="G1155" s="129"/>
      <c r="H1155" s="129"/>
    </row>
    <row r="1156" spans="2:8">
      <c r="B1156" s="129"/>
      <c r="C1156" s="130"/>
      <c r="D1156" s="131"/>
      <c r="E1156" s="132"/>
      <c r="F1156" s="129"/>
      <c r="G1156" s="129"/>
      <c r="H1156" s="129"/>
    </row>
    <row r="1157" spans="2:8">
      <c r="B1157" s="129"/>
      <c r="C1157" s="130"/>
      <c r="D1157" s="131"/>
      <c r="E1157" s="132"/>
      <c r="F1157" s="129"/>
      <c r="G1157" s="129"/>
      <c r="H1157" s="129"/>
    </row>
    <row r="1158" spans="2:8">
      <c r="B1158" s="129"/>
      <c r="C1158" s="130"/>
      <c r="D1158" s="131"/>
      <c r="E1158" s="132"/>
      <c r="F1158" s="129"/>
      <c r="G1158" s="129"/>
      <c r="H1158" s="129"/>
    </row>
    <row r="1159" spans="2:8">
      <c r="B1159" s="129"/>
      <c r="C1159" s="130"/>
      <c r="D1159" s="131"/>
      <c r="E1159" s="132"/>
      <c r="F1159" s="129"/>
      <c r="G1159" s="129"/>
      <c r="H1159" s="129"/>
    </row>
    <row r="1160" spans="2:8">
      <c r="B1160" s="129"/>
      <c r="C1160" s="130"/>
      <c r="D1160" s="131"/>
      <c r="E1160" s="132"/>
      <c r="F1160" s="129"/>
      <c r="G1160" s="129"/>
      <c r="H1160" s="129"/>
    </row>
    <row r="1161" spans="2:8">
      <c r="B1161" s="129"/>
      <c r="C1161" s="130"/>
      <c r="D1161" s="131"/>
      <c r="E1161" s="132"/>
      <c r="F1161" s="129"/>
      <c r="G1161" s="129"/>
      <c r="H1161" s="129"/>
    </row>
    <row r="1162" spans="2:8">
      <c r="B1162" s="129"/>
      <c r="C1162" s="130"/>
      <c r="D1162" s="131"/>
      <c r="E1162" s="132"/>
      <c r="F1162" s="129"/>
      <c r="G1162" s="129"/>
      <c r="H1162" s="129"/>
    </row>
    <row r="1163" spans="2:8">
      <c r="B1163" s="129"/>
      <c r="C1163" s="130"/>
      <c r="D1163" s="131"/>
      <c r="E1163" s="132"/>
      <c r="F1163" s="129"/>
      <c r="G1163" s="129"/>
      <c r="H1163" s="129"/>
    </row>
    <row r="1164" spans="2:8">
      <c r="B1164" s="129"/>
      <c r="C1164" s="130"/>
      <c r="D1164" s="131"/>
      <c r="E1164" s="132"/>
      <c r="F1164" s="129"/>
      <c r="G1164" s="129"/>
      <c r="H1164" s="129"/>
    </row>
    <row r="1165" spans="2:8">
      <c r="B1165" s="129"/>
      <c r="C1165" s="130"/>
      <c r="D1165" s="131"/>
      <c r="E1165" s="132"/>
      <c r="F1165" s="129"/>
      <c r="G1165" s="129"/>
      <c r="H1165" s="129"/>
    </row>
    <row r="1166" spans="2:8">
      <c r="B1166" s="129"/>
      <c r="C1166" s="130"/>
      <c r="D1166" s="131"/>
      <c r="E1166" s="132"/>
      <c r="F1166" s="129"/>
      <c r="G1166" s="129"/>
      <c r="H1166" s="129"/>
    </row>
    <row r="1167" spans="2:8">
      <c r="B1167" s="129"/>
      <c r="C1167" s="130"/>
      <c r="D1167" s="131"/>
      <c r="E1167" s="132"/>
      <c r="F1167" s="129"/>
      <c r="G1167" s="129"/>
      <c r="H1167" s="129"/>
    </row>
    <row r="1168" spans="2:8">
      <c r="B1168" s="129"/>
      <c r="C1168" s="130"/>
      <c r="D1168" s="131"/>
      <c r="E1168" s="132"/>
      <c r="F1168" s="129"/>
      <c r="G1168" s="129"/>
      <c r="H1168" s="129"/>
    </row>
    <row r="1169" spans="2:8">
      <c r="B1169" s="129"/>
      <c r="C1169" s="130"/>
      <c r="D1169" s="131"/>
      <c r="E1169" s="132"/>
      <c r="F1169" s="129"/>
      <c r="G1169" s="129"/>
      <c r="H1169" s="129"/>
    </row>
    <row r="1170" spans="2:8">
      <c r="B1170" s="129"/>
      <c r="C1170" s="130"/>
      <c r="D1170" s="131"/>
      <c r="E1170" s="132"/>
      <c r="F1170" s="129"/>
      <c r="G1170" s="129"/>
      <c r="H1170" s="129"/>
    </row>
    <row r="1171" spans="2:8">
      <c r="B1171" s="129"/>
      <c r="C1171" s="130"/>
      <c r="D1171" s="131"/>
      <c r="E1171" s="132"/>
      <c r="F1171" s="129"/>
      <c r="G1171" s="129"/>
      <c r="H1171" s="129"/>
    </row>
    <row r="1172" spans="2:8">
      <c r="B1172" s="129"/>
      <c r="C1172" s="130"/>
      <c r="D1172" s="131"/>
      <c r="E1172" s="132"/>
      <c r="F1172" s="129"/>
      <c r="G1172" s="129"/>
      <c r="H1172" s="129"/>
    </row>
    <row r="1173" spans="2:8">
      <c r="B1173" s="129"/>
      <c r="C1173" s="130"/>
      <c r="D1173" s="131"/>
      <c r="E1173" s="132"/>
      <c r="F1173" s="129"/>
      <c r="G1173" s="129"/>
      <c r="H1173" s="129"/>
    </row>
    <row r="1174" spans="2:8">
      <c r="B1174" s="129"/>
      <c r="C1174" s="130"/>
      <c r="D1174" s="131"/>
      <c r="E1174" s="132"/>
      <c r="F1174" s="129"/>
      <c r="G1174" s="129"/>
      <c r="H1174" s="129"/>
    </row>
    <row r="1175" spans="2:8">
      <c r="B1175" s="129"/>
      <c r="C1175" s="130"/>
      <c r="D1175" s="131"/>
      <c r="E1175" s="132"/>
      <c r="F1175" s="129"/>
      <c r="G1175" s="129"/>
      <c r="H1175" s="129"/>
    </row>
    <row r="1176" spans="2:8">
      <c r="B1176" s="129"/>
      <c r="C1176" s="130"/>
      <c r="D1176" s="131"/>
      <c r="E1176" s="132"/>
      <c r="F1176" s="129"/>
      <c r="G1176" s="129"/>
      <c r="H1176" s="129"/>
    </row>
    <row r="1177" spans="2:8">
      <c r="B1177" s="129"/>
      <c r="C1177" s="130"/>
      <c r="D1177" s="131"/>
      <c r="E1177" s="132"/>
      <c r="F1177" s="129"/>
      <c r="G1177" s="129"/>
      <c r="H1177" s="129"/>
    </row>
    <row r="1178" spans="2:8">
      <c r="B1178" s="129"/>
      <c r="C1178" s="130"/>
      <c r="D1178" s="131"/>
      <c r="E1178" s="132"/>
      <c r="F1178" s="129"/>
      <c r="G1178" s="129"/>
      <c r="H1178" s="129"/>
    </row>
    <row r="1179" spans="2:8">
      <c r="B1179" s="129"/>
      <c r="C1179" s="130"/>
      <c r="D1179" s="131"/>
      <c r="E1179" s="132"/>
      <c r="F1179" s="129"/>
      <c r="G1179" s="129"/>
      <c r="H1179" s="129"/>
    </row>
    <row r="1180" spans="2:8">
      <c r="B1180" s="129"/>
      <c r="C1180" s="130"/>
      <c r="D1180" s="131"/>
      <c r="E1180" s="132"/>
      <c r="F1180" s="129"/>
      <c r="G1180" s="129"/>
      <c r="H1180" s="129"/>
    </row>
    <row r="1181" spans="2:8">
      <c r="B1181" s="129"/>
      <c r="C1181" s="130"/>
      <c r="D1181" s="131"/>
      <c r="E1181" s="132"/>
      <c r="F1181" s="129"/>
      <c r="G1181" s="129"/>
      <c r="H1181" s="129"/>
    </row>
    <row r="1182" spans="2:8">
      <c r="B1182" s="129"/>
      <c r="C1182" s="130"/>
      <c r="D1182" s="131"/>
      <c r="E1182" s="132"/>
      <c r="F1182" s="129"/>
      <c r="G1182" s="129"/>
      <c r="H1182" s="129"/>
    </row>
    <row r="1183" spans="2:8">
      <c r="B1183" s="129"/>
      <c r="C1183" s="130"/>
      <c r="D1183" s="131"/>
      <c r="E1183" s="132"/>
      <c r="F1183" s="129"/>
      <c r="G1183" s="129"/>
      <c r="H1183" s="129"/>
    </row>
    <row r="1184" spans="2:8">
      <c r="B1184" s="129"/>
      <c r="C1184" s="130"/>
      <c r="D1184" s="131"/>
      <c r="E1184" s="132"/>
      <c r="F1184" s="129"/>
      <c r="G1184" s="129"/>
      <c r="H1184" s="129"/>
    </row>
    <row r="1185" spans="2:8">
      <c r="B1185" s="129"/>
      <c r="C1185" s="130"/>
      <c r="D1185" s="131"/>
      <c r="E1185" s="132"/>
      <c r="F1185" s="129"/>
      <c r="G1185" s="129"/>
      <c r="H1185" s="129"/>
    </row>
    <row r="1186" spans="2:8">
      <c r="B1186" s="129"/>
      <c r="C1186" s="130"/>
      <c r="D1186" s="131"/>
      <c r="E1186" s="132"/>
      <c r="F1186" s="129"/>
      <c r="G1186" s="129"/>
      <c r="H1186" s="129"/>
    </row>
    <row r="1187" spans="2:8">
      <c r="B1187" s="129"/>
      <c r="C1187" s="130"/>
      <c r="D1187" s="131"/>
      <c r="E1187" s="132"/>
      <c r="F1187" s="129"/>
      <c r="G1187" s="129"/>
      <c r="H1187" s="129"/>
    </row>
    <row r="1188" spans="2:8">
      <c r="B1188" s="129"/>
      <c r="C1188" s="130"/>
      <c r="D1188" s="131"/>
      <c r="E1188" s="132"/>
      <c r="F1188" s="129"/>
      <c r="G1188" s="129"/>
      <c r="H1188" s="129"/>
    </row>
    <row r="1189" spans="2:8">
      <c r="B1189" s="129"/>
      <c r="C1189" s="130"/>
      <c r="D1189" s="131"/>
      <c r="E1189" s="132"/>
      <c r="F1189" s="129"/>
      <c r="G1189" s="129"/>
      <c r="H1189" s="129"/>
    </row>
    <row r="1190" spans="2:8">
      <c r="B1190" s="129"/>
      <c r="C1190" s="130"/>
      <c r="D1190" s="131"/>
      <c r="E1190" s="132"/>
      <c r="F1190" s="129"/>
      <c r="G1190" s="129"/>
      <c r="H1190" s="129"/>
    </row>
    <row r="1191" spans="2:8">
      <c r="B1191" s="129"/>
      <c r="C1191" s="130"/>
      <c r="D1191" s="131"/>
      <c r="E1191" s="132"/>
      <c r="F1191" s="129"/>
      <c r="G1191" s="129"/>
      <c r="H1191" s="129"/>
    </row>
    <row r="1192" spans="2:8">
      <c r="B1192" s="129"/>
      <c r="C1192" s="130"/>
      <c r="D1192" s="131"/>
      <c r="E1192" s="132"/>
      <c r="F1192" s="129"/>
      <c r="G1192" s="129"/>
      <c r="H1192" s="129"/>
    </row>
    <row r="1193" spans="2:8">
      <c r="B1193" s="129"/>
      <c r="C1193" s="130"/>
      <c r="D1193" s="131"/>
      <c r="E1193" s="132"/>
      <c r="F1193" s="129"/>
      <c r="G1193" s="129"/>
      <c r="H1193" s="129"/>
    </row>
    <row r="1194" spans="2:8">
      <c r="B1194" s="129"/>
      <c r="C1194" s="130"/>
      <c r="D1194" s="131"/>
      <c r="E1194" s="132"/>
      <c r="F1194" s="129"/>
      <c r="G1194" s="129"/>
      <c r="H1194" s="129"/>
    </row>
    <row r="1195" spans="2:8">
      <c r="B1195" s="129"/>
      <c r="C1195" s="130"/>
      <c r="D1195" s="131"/>
      <c r="E1195" s="132"/>
      <c r="F1195" s="129"/>
      <c r="G1195" s="129"/>
      <c r="H1195" s="129"/>
    </row>
    <row r="1196" spans="2:8">
      <c r="B1196" s="129"/>
      <c r="C1196" s="130"/>
      <c r="D1196" s="131"/>
      <c r="E1196" s="132"/>
      <c r="F1196" s="129"/>
      <c r="G1196" s="129"/>
      <c r="H1196" s="129"/>
    </row>
    <row r="1197" spans="2:8">
      <c r="B1197" s="129"/>
      <c r="C1197" s="130"/>
      <c r="D1197" s="131"/>
      <c r="E1197" s="132"/>
      <c r="F1197" s="129"/>
      <c r="G1197" s="129"/>
      <c r="H1197" s="129"/>
    </row>
    <row r="1198" spans="2:8">
      <c r="B1198" s="129"/>
      <c r="C1198" s="130"/>
      <c r="D1198" s="131"/>
      <c r="E1198" s="132"/>
      <c r="F1198" s="129"/>
      <c r="G1198" s="129"/>
      <c r="H1198" s="129"/>
    </row>
    <row r="1199" spans="2:8">
      <c r="B1199" s="129"/>
      <c r="C1199" s="130"/>
      <c r="D1199" s="131"/>
      <c r="E1199" s="132"/>
      <c r="F1199" s="129"/>
      <c r="G1199" s="129"/>
      <c r="H1199" s="129"/>
    </row>
    <row r="1200" spans="2:8">
      <c r="B1200" s="129"/>
      <c r="C1200" s="130"/>
      <c r="D1200" s="131"/>
      <c r="E1200" s="132"/>
      <c r="F1200" s="129"/>
      <c r="G1200" s="129"/>
      <c r="H1200" s="129"/>
    </row>
    <row r="1201" spans="2:8">
      <c r="B1201" s="129"/>
      <c r="C1201" s="130"/>
      <c r="D1201" s="131"/>
      <c r="E1201" s="132"/>
      <c r="F1201" s="129"/>
      <c r="G1201" s="129"/>
      <c r="H1201" s="129"/>
    </row>
    <row r="1202" spans="2:8">
      <c r="B1202" s="129"/>
      <c r="C1202" s="130"/>
      <c r="D1202" s="131"/>
      <c r="E1202" s="132"/>
      <c r="F1202" s="129"/>
      <c r="G1202" s="129"/>
      <c r="H1202" s="129"/>
    </row>
    <row r="1203" spans="2:8">
      <c r="B1203" s="129"/>
      <c r="C1203" s="130"/>
      <c r="D1203" s="131"/>
      <c r="E1203" s="132"/>
      <c r="F1203" s="129"/>
      <c r="G1203" s="129"/>
      <c r="H1203" s="129"/>
    </row>
    <row r="1204" spans="2:8">
      <c r="B1204" s="129"/>
      <c r="C1204" s="130"/>
      <c r="D1204" s="131"/>
      <c r="E1204" s="132"/>
      <c r="F1204" s="129"/>
      <c r="G1204" s="129"/>
      <c r="H1204" s="129"/>
    </row>
    <row r="1205" spans="2:8">
      <c r="B1205" s="129"/>
      <c r="C1205" s="130"/>
      <c r="D1205" s="131"/>
      <c r="E1205" s="132"/>
      <c r="F1205" s="129"/>
      <c r="G1205" s="129"/>
      <c r="H1205" s="129"/>
    </row>
    <row r="1206" spans="2:8">
      <c r="B1206" s="129"/>
      <c r="C1206" s="130"/>
      <c r="D1206" s="131"/>
      <c r="E1206" s="132"/>
      <c r="F1206" s="129"/>
      <c r="G1206" s="129"/>
      <c r="H1206" s="129"/>
    </row>
    <row r="1207" spans="2:8">
      <c r="B1207" s="129"/>
      <c r="C1207" s="130"/>
      <c r="D1207" s="131"/>
      <c r="E1207" s="132"/>
      <c r="F1207" s="129"/>
      <c r="G1207" s="129"/>
      <c r="H1207" s="129"/>
    </row>
    <row r="1208" spans="2:8">
      <c r="B1208" s="129"/>
      <c r="C1208" s="130"/>
      <c r="D1208" s="131"/>
      <c r="E1208" s="132"/>
      <c r="F1208" s="129"/>
      <c r="G1208" s="129"/>
      <c r="H1208" s="129"/>
    </row>
    <row r="1209" spans="2:8">
      <c r="B1209" s="129"/>
      <c r="C1209" s="130"/>
      <c r="D1209" s="131"/>
      <c r="E1209" s="132"/>
      <c r="F1209" s="129"/>
      <c r="G1209" s="129"/>
      <c r="H1209" s="129"/>
    </row>
    <row r="1210" spans="2:8">
      <c r="B1210" s="129"/>
      <c r="C1210" s="130"/>
      <c r="D1210" s="131"/>
      <c r="E1210" s="132"/>
      <c r="F1210" s="129"/>
      <c r="G1210" s="129"/>
      <c r="H1210" s="129"/>
    </row>
    <row r="1211" spans="2:8">
      <c r="B1211" s="129"/>
      <c r="C1211" s="130"/>
      <c r="D1211" s="131"/>
      <c r="E1211" s="132"/>
      <c r="F1211" s="129"/>
      <c r="G1211" s="129"/>
      <c r="H1211" s="129"/>
    </row>
    <row r="1212" spans="2:8">
      <c r="B1212" s="129"/>
      <c r="C1212" s="130"/>
      <c r="D1212" s="131"/>
      <c r="E1212" s="132"/>
      <c r="F1212" s="129"/>
      <c r="G1212" s="129"/>
      <c r="H1212" s="129"/>
    </row>
    <row r="1213" spans="2:8">
      <c r="B1213" s="129"/>
      <c r="C1213" s="130"/>
      <c r="D1213" s="131"/>
      <c r="E1213" s="132"/>
      <c r="F1213" s="129"/>
      <c r="G1213" s="129"/>
      <c r="H1213" s="129"/>
    </row>
    <row r="1214" spans="2:8">
      <c r="B1214" s="129"/>
      <c r="C1214" s="130"/>
      <c r="D1214" s="131"/>
      <c r="E1214" s="132"/>
      <c r="F1214" s="129"/>
      <c r="G1214" s="129"/>
      <c r="H1214" s="129"/>
    </row>
    <row r="1215" spans="2:8">
      <c r="B1215" s="129"/>
      <c r="C1215" s="130"/>
      <c r="D1215" s="131"/>
      <c r="E1215" s="132"/>
      <c r="F1215" s="129"/>
      <c r="G1215" s="129"/>
      <c r="H1215" s="129"/>
    </row>
    <row r="1216" spans="2:8">
      <c r="B1216" s="129"/>
      <c r="C1216" s="130"/>
      <c r="D1216" s="131"/>
      <c r="E1216" s="132"/>
      <c r="F1216" s="129"/>
      <c r="G1216" s="129"/>
      <c r="H1216" s="129"/>
    </row>
    <row r="1217" spans="2:8">
      <c r="B1217" s="129"/>
      <c r="C1217" s="130"/>
      <c r="D1217" s="131"/>
      <c r="E1217" s="132"/>
      <c r="F1217" s="129"/>
      <c r="G1217" s="129"/>
      <c r="H1217" s="129"/>
    </row>
    <row r="1218" spans="2:8">
      <c r="B1218" s="129"/>
      <c r="C1218" s="130"/>
      <c r="D1218" s="131"/>
      <c r="E1218" s="132"/>
      <c r="F1218" s="129"/>
      <c r="G1218" s="129"/>
      <c r="H1218" s="129"/>
    </row>
    <row r="1219" spans="2:8">
      <c r="B1219" s="129"/>
      <c r="C1219" s="130"/>
      <c r="D1219" s="131"/>
      <c r="E1219" s="132"/>
      <c r="F1219" s="129"/>
      <c r="G1219" s="129"/>
      <c r="H1219" s="129"/>
    </row>
    <row r="1220" spans="2:8">
      <c r="B1220" s="129"/>
      <c r="C1220" s="130"/>
      <c r="D1220" s="131"/>
      <c r="E1220" s="132"/>
      <c r="F1220" s="129"/>
      <c r="G1220" s="129"/>
      <c r="H1220" s="129"/>
    </row>
    <row r="1221" spans="2:8">
      <c r="B1221" s="129"/>
      <c r="C1221" s="130"/>
      <c r="D1221" s="131"/>
      <c r="E1221" s="132"/>
      <c r="F1221" s="129"/>
      <c r="G1221" s="129"/>
      <c r="H1221" s="129"/>
    </row>
    <row r="1222" spans="2:8">
      <c r="B1222" s="129"/>
      <c r="C1222" s="130"/>
      <c r="D1222" s="131"/>
      <c r="E1222" s="132"/>
      <c r="F1222" s="129"/>
      <c r="G1222" s="129"/>
      <c r="H1222" s="129"/>
    </row>
    <row r="1223" spans="2:8">
      <c r="B1223" s="129"/>
      <c r="C1223" s="130"/>
      <c r="D1223" s="131"/>
      <c r="E1223" s="132"/>
      <c r="F1223" s="129"/>
      <c r="G1223" s="129"/>
      <c r="H1223" s="129"/>
    </row>
    <row r="1224" spans="2:8">
      <c r="B1224" s="129"/>
      <c r="C1224" s="130"/>
      <c r="D1224" s="131"/>
      <c r="E1224" s="132"/>
      <c r="F1224" s="129"/>
      <c r="G1224" s="129"/>
      <c r="H1224" s="129"/>
    </row>
    <row r="1225" spans="2:8">
      <c r="B1225" s="129"/>
      <c r="C1225" s="130"/>
      <c r="D1225" s="131"/>
      <c r="E1225" s="132"/>
      <c r="F1225" s="129"/>
      <c r="G1225" s="129"/>
      <c r="H1225" s="129"/>
    </row>
    <row r="1226" spans="2:8">
      <c r="B1226" s="129"/>
      <c r="C1226" s="130"/>
      <c r="D1226" s="131"/>
      <c r="E1226" s="132"/>
      <c r="F1226" s="129"/>
      <c r="G1226" s="129"/>
      <c r="H1226" s="129"/>
    </row>
    <row r="1227" spans="2:8">
      <c r="B1227" s="129"/>
      <c r="C1227" s="130"/>
      <c r="D1227" s="131"/>
      <c r="E1227" s="132"/>
      <c r="F1227" s="129"/>
      <c r="G1227" s="129"/>
      <c r="H1227" s="129"/>
    </row>
    <row r="1228" spans="2:8">
      <c r="B1228" s="129"/>
      <c r="C1228" s="130"/>
      <c r="D1228" s="131"/>
      <c r="E1228" s="132"/>
      <c r="F1228" s="129"/>
      <c r="G1228" s="129"/>
      <c r="H1228" s="129"/>
    </row>
    <row r="1229" spans="2:8">
      <c r="B1229" s="129"/>
      <c r="C1229" s="130"/>
      <c r="D1229" s="131"/>
      <c r="E1229" s="132"/>
      <c r="F1229" s="129"/>
      <c r="G1229" s="129"/>
      <c r="H1229" s="129"/>
    </row>
    <row r="1230" spans="2:8">
      <c r="B1230" s="129"/>
      <c r="C1230" s="130"/>
      <c r="D1230" s="131"/>
      <c r="E1230" s="132"/>
      <c r="F1230" s="129"/>
      <c r="G1230" s="129"/>
      <c r="H1230" s="129"/>
    </row>
    <row r="1231" spans="2:8">
      <c r="B1231" s="129"/>
      <c r="C1231" s="130"/>
      <c r="D1231" s="131"/>
      <c r="E1231" s="132"/>
      <c r="F1231" s="129"/>
      <c r="G1231" s="129"/>
      <c r="H1231" s="129"/>
    </row>
    <row r="1232" spans="2:8">
      <c r="B1232" s="129"/>
      <c r="C1232" s="130"/>
      <c r="D1232" s="131"/>
      <c r="E1232" s="132"/>
      <c r="F1232" s="129"/>
      <c r="G1232" s="129"/>
      <c r="H1232" s="129"/>
    </row>
    <row r="1233" spans="2:8">
      <c r="B1233" s="129"/>
      <c r="C1233" s="130"/>
      <c r="D1233" s="131"/>
      <c r="E1233" s="132"/>
      <c r="F1233" s="129"/>
      <c r="G1233" s="129"/>
      <c r="H1233" s="129"/>
    </row>
    <row r="1234" spans="2:8">
      <c r="B1234" s="129"/>
      <c r="C1234" s="130"/>
      <c r="D1234" s="131"/>
      <c r="E1234" s="132"/>
      <c r="F1234" s="129"/>
      <c r="G1234" s="129"/>
      <c r="H1234" s="129"/>
    </row>
    <row r="1235" spans="2:8">
      <c r="B1235" s="129"/>
      <c r="C1235" s="130"/>
      <c r="D1235" s="131"/>
      <c r="E1235" s="132"/>
      <c r="F1235" s="129"/>
      <c r="G1235" s="129"/>
      <c r="H1235" s="129"/>
    </row>
    <row r="1236" spans="2:8">
      <c r="B1236" s="129"/>
      <c r="C1236" s="130"/>
      <c r="D1236" s="131"/>
      <c r="E1236" s="132"/>
      <c r="F1236" s="129"/>
      <c r="G1236" s="129"/>
      <c r="H1236" s="129"/>
    </row>
    <row r="1237" spans="2:8">
      <c r="B1237" s="129"/>
      <c r="C1237" s="130"/>
      <c r="D1237" s="131"/>
      <c r="E1237" s="132"/>
      <c r="F1237" s="129"/>
      <c r="G1237" s="129"/>
      <c r="H1237" s="129"/>
    </row>
    <row r="1238" spans="2:8">
      <c r="B1238" s="129"/>
      <c r="C1238" s="130"/>
      <c r="D1238" s="131"/>
      <c r="E1238" s="132"/>
      <c r="F1238" s="129"/>
      <c r="G1238" s="129"/>
      <c r="H1238" s="129"/>
    </row>
    <row r="1239" spans="2:8">
      <c r="B1239" s="129"/>
      <c r="C1239" s="130"/>
      <c r="D1239" s="131"/>
      <c r="E1239" s="132"/>
      <c r="F1239" s="129"/>
      <c r="G1239" s="129"/>
      <c r="H1239" s="129"/>
    </row>
    <row r="1240" spans="2:8">
      <c r="B1240" s="129"/>
      <c r="C1240" s="130"/>
      <c r="D1240" s="131"/>
      <c r="E1240" s="132"/>
      <c r="F1240" s="129"/>
      <c r="G1240" s="129"/>
      <c r="H1240" s="129"/>
    </row>
    <row r="1241" spans="2:8">
      <c r="B1241" s="129"/>
      <c r="C1241" s="130"/>
      <c r="D1241" s="131"/>
      <c r="E1241" s="132"/>
      <c r="F1241" s="129"/>
      <c r="G1241" s="129"/>
      <c r="H1241" s="129"/>
    </row>
    <row r="1242" spans="2:8">
      <c r="B1242" s="129"/>
      <c r="C1242" s="130"/>
      <c r="D1242" s="131"/>
      <c r="E1242" s="132"/>
      <c r="F1242" s="129"/>
      <c r="G1242" s="129"/>
      <c r="H1242" s="129"/>
    </row>
    <row r="1243" spans="2:8">
      <c r="B1243" s="129"/>
      <c r="C1243" s="130"/>
      <c r="D1243" s="131"/>
      <c r="E1243" s="132"/>
      <c r="F1243" s="129"/>
      <c r="G1243" s="129"/>
      <c r="H1243" s="129"/>
    </row>
    <row r="1244" spans="2:8">
      <c r="B1244" s="129"/>
      <c r="C1244" s="130"/>
      <c r="D1244" s="131"/>
      <c r="E1244" s="132"/>
      <c r="F1244" s="129"/>
      <c r="G1244" s="129"/>
      <c r="H1244" s="129"/>
    </row>
    <row r="1245" spans="2:8">
      <c r="B1245" s="129"/>
      <c r="C1245" s="130"/>
      <c r="D1245" s="131"/>
      <c r="E1245" s="132"/>
      <c r="F1245" s="129"/>
      <c r="G1245" s="129"/>
      <c r="H1245" s="129"/>
    </row>
    <row r="1246" spans="2:8">
      <c r="B1246" s="129"/>
      <c r="C1246" s="130"/>
      <c r="D1246" s="131"/>
      <c r="E1246" s="132"/>
      <c r="F1246" s="129"/>
      <c r="G1246" s="129"/>
      <c r="H1246" s="129"/>
    </row>
    <row r="1247" spans="2:8">
      <c r="B1247" s="129"/>
      <c r="C1247" s="130"/>
      <c r="D1247" s="131"/>
      <c r="E1247" s="132"/>
      <c r="F1247" s="129"/>
      <c r="G1247" s="129"/>
      <c r="H1247" s="129"/>
    </row>
    <row r="1248" spans="2:8">
      <c r="B1248" s="129"/>
      <c r="C1248" s="130"/>
      <c r="D1248" s="131"/>
      <c r="E1248" s="132"/>
      <c r="F1248" s="129"/>
      <c r="G1248" s="129"/>
      <c r="H1248" s="129"/>
    </row>
    <row r="1249" spans="2:8">
      <c r="B1249" s="129"/>
      <c r="C1249" s="130"/>
      <c r="D1249" s="131"/>
      <c r="E1249" s="132"/>
      <c r="F1249" s="129"/>
      <c r="G1249" s="129"/>
      <c r="H1249" s="129"/>
    </row>
    <row r="1250" spans="2:8">
      <c r="B1250" s="129"/>
      <c r="C1250" s="130"/>
      <c r="D1250" s="131"/>
      <c r="E1250" s="132"/>
      <c r="F1250" s="129"/>
      <c r="G1250" s="129"/>
      <c r="H1250" s="129"/>
    </row>
    <row r="1251" spans="2:8">
      <c r="B1251" s="129"/>
      <c r="C1251" s="130"/>
      <c r="D1251" s="131"/>
      <c r="E1251" s="132"/>
      <c r="F1251" s="129"/>
      <c r="G1251" s="129"/>
      <c r="H1251" s="129"/>
    </row>
    <row r="1252" spans="2:8">
      <c r="B1252" s="129"/>
      <c r="C1252" s="130"/>
      <c r="D1252" s="131"/>
      <c r="E1252" s="132"/>
      <c r="F1252" s="129"/>
      <c r="G1252" s="129"/>
      <c r="H1252" s="129"/>
    </row>
    <row r="1253" spans="2:8">
      <c r="B1253" s="129"/>
      <c r="C1253" s="130"/>
      <c r="D1253" s="131"/>
      <c r="E1253" s="132"/>
      <c r="F1253" s="129"/>
      <c r="G1253" s="129"/>
      <c r="H1253" s="129"/>
    </row>
    <row r="1254" spans="2:8">
      <c r="B1254" s="129"/>
      <c r="C1254" s="130"/>
      <c r="D1254" s="131"/>
      <c r="E1254" s="132"/>
      <c r="F1254" s="129"/>
      <c r="G1254" s="129"/>
      <c r="H1254" s="129"/>
    </row>
    <row r="1255" spans="2:8">
      <c r="B1255" s="129"/>
      <c r="C1255" s="130"/>
      <c r="D1255" s="131"/>
      <c r="E1255" s="132"/>
      <c r="F1255" s="129"/>
      <c r="G1255" s="129"/>
      <c r="H1255" s="129"/>
    </row>
    <row r="1256" spans="2:8">
      <c r="B1256" s="129"/>
      <c r="C1256" s="130"/>
      <c r="D1256" s="131"/>
      <c r="E1256" s="132"/>
      <c r="F1256" s="129"/>
      <c r="G1256" s="129"/>
      <c r="H1256" s="129"/>
    </row>
    <row r="1257" spans="2:8">
      <c r="B1257" s="129"/>
      <c r="C1257" s="130"/>
      <c r="D1257" s="131"/>
      <c r="E1257" s="132"/>
      <c r="F1257" s="129"/>
      <c r="G1257" s="129"/>
      <c r="H1257" s="129"/>
    </row>
    <row r="1258" spans="2:8">
      <c r="B1258" s="129"/>
      <c r="C1258" s="130"/>
      <c r="D1258" s="131"/>
      <c r="E1258" s="132"/>
      <c r="F1258" s="129"/>
      <c r="G1258" s="129"/>
      <c r="H1258" s="129"/>
    </row>
    <row r="1259" spans="2:8">
      <c r="B1259" s="129"/>
      <c r="C1259" s="130"/>
      <c r="D1259" s="131"/>
      <c r="E1259" s="132"/>
      <c r="F1259" s="129"/>
      <c r="G1259" s="129"/>
      <c r="H1259" s="129"/>
    </row>
    <row r="1260" spans="2:8">
      <c r="B1260" s="129"/>
      <c r="C1260" s="130"/>
      <c r="D1260" s="131"/>
      <c r="E1260" s="132"/>
      <c r="F1260" s="129"/>
      <c r="G1260" s="129"/>
      <c r="H1260" s="129"/>
    </row>
    <row r="1261" spans="2:8">
      <c r="B1261" s="129"/>
      <c r="C1261" s="130"/>
      <c r="D1261" s="131"/>
      <c r="E1261" s="132"/>
      <c r="F1261" s="129"/>
      <c r="G1261" s="129"/>
      <c r="H1261" s="129"/>
    </row>
    <row r="1262" spans="2:8">
      <c r="B1262" s="129"/>
      <c r="C1262" s="130"/>
      <c r="D1262" s="131"/>
      <c r="E1262" s="132"/>
      <c r="F1262" s="129"/>
      <c r="G1262" s="129"/>
      <c r="H1262" s="129"/>
    </row>
    <row r="1263" spans="2:8">
      <c r="B1263" s="129"/>
      <c r="C1263" s="130"/>
      <c r="D1263" s="131"/>
      <c r="E1263" s="132"/>
      <c r="F1263" s="129"/>
      <c r="G1263" s="129"/>
      <c r="H1263" s="129"/>
    </row>
    <row r="1264" spans="2:8">
      <c r="B1264" s="129"/>
      <c r="C1264" s="130"/>
      <c r="D1264" s="131"/>
      <c r="E1264" s="132"/>
      <c r="F1264" s="129"/>
      <c r="G1264" s="129"/>
      <c r="H1264" s="129"/>
    </row>
    <row r="1265" spans="2:8">
      <c r="B1265" s="129"/>
      <c r="C1265" s="130"/>
      <c r="D1265" s="131"/>
      <c r="E1265" s="132"/>
      <c r="F1265" s="129"/>
      <c r="G1265" s="129"/>
      <c r="H1265" s="129"/>
    </row>
    <row r="1266" spans="2:8">
      <c r="B1266" s="129"/>
      <c r="C1266" s="130"/>
      <c r="D1266" s="131"/>
      <c r="E1266" s="132"/>
      <c r="F1266" s="129"/>
      <c r="G1266" s="129"/>
      <c r="H1266" s="129"/>
    </row>
    <row r="1267" spans="2:8">
      <c r="B1267" s="129"/>
      <c r="C1267" s="130"/>
      <c r="D1267" s="131"/>
      <c r="E1267" s="132"/>
      <c r="F1267" s="129"/>
      <c r="G1267" s="129"/>
      <c r="H1267" s="129"/>
    </row>
    <row r="1268" spans="2:8">
      <c r="B1268" s="129"/>
      <c r="C1268" s="130"/>
      <c r="D1268" s="131"/>
      <c r="E1268" s="132"/>
      <c r="F1268" s="129"/>
      <c r="G1268" s="129"/>
      <c r="H1268" s="129"/>
    </row>
    <row r="1269" spans="2:8">
      <c r="B1269" s="129"/>
      <c r="C1269" s="130"/>
      <c r="D1269" s="131"/>
      <c r="E1269" s="132"/>
      <c r="F1269" s="129"/>
      <c r="G1269" s="129"/>
      <c r="H1269" s="129"/>
    </row>
    <row r="1270" spans="2:8">
      <c r="B1270" s="129"/>
      <c r="C1270" s="130"/>
      <c r="D1270" s="131"/>
      <c r="E1270" s="132"/>
      <c r="F1270" s="129"/>
      <c r="G1270" s="129"/>
      <c r="H1270" s="129"/>
    </row>
    <row r="1271" spans="2:8">
      <c r="B1271" s="129"/>
      <c r="C1271" s="130"/>
      <c r="D1271" s="131"/>
      <c r="E1271" s="132"/>
      <c r="F1271" s="129"/>
      <c r="G1271" s="129"/>
      <c r="H1271" s="129"/>
    </row>
    <row r="1272" spans="2:8">
      <c r="B1272" s="129"/>
      <c r="C1272" s="130"/>
      <c r="D1272" s="131"/>
      <c r="E1272" s="132"/>
      <c r="F1272" s="129"/>
      <c r="G1272" s="129"/>
      <c r="H1272" s="129"/>
    </row>
    <row r="1273" spans="2:8">
      <c r="B1273" s="129"/>
      <c r="C1273" s="130"/>
      <c r="D1273" s="131"/>
      <c r="E1273" s="132"/>
      <c r="F1273" s="129"/>
      <c r="G1273" s="129"/>
      <c r="H1273" s="129"/>
    </row>
    <row r="1274" spans="2:8">
      <c r="B1274" s="129"/>
      <c r="C1274" s="130"/>
      <c r="D1274" s="131"/>
      <c r="E1274" s="132"/>
      <c r="F1274" s="129"/>
      <c r="G1274" s="129"/>
      <c r="H1274" s="129"/>
    </row>
    <row r="1275" spans="2:8">
      <c r="B1275" s="129"/>
      <c r="C1275" s="130"/>
      <c r="D1275" s="131"/>
      <c r="E1275" s="132"/>
      <c r="F1275" s="129"/>
      <c r="G1275" s="129"/>
      <c r="H1275" s="129"/>
    </row>
    <row r="1276" spans="2:8">
      <c r="B1276" s="129"/>
      <c r="C1276" s="130"/>
      <c r="D1276" s="131"/>
      <c r="E1276" s="132"/>
      <c r="F1276" s="129"/>
      <c r="G1276" s="129"/>
      <c r="H1276" s="129"/>
    </row>
    <row r="1277" spans="2:8">
      <c r="B1277" s="129"/>
      <c r="C1277" s="130"/>
      <c r="D1277" s="131"/>
      <c r="E1277" s="132"/>
      <c r="F1277" s="129"/>
      <c r="G1277" s="129"/>
      <c r="H1277" s="129"/>
    </row>
    <row r="1278" spans="2:8">
      <c r="B1278" s="129"/>
      <c r="C1278" s="130"/>
      <c r="D1278" s="131"/>
      <c r="E1278" s="132"/>
      <c r="F1278" s="129"/>
      <c r="G1278" s="129"/>
      <c r="H1278" s="129"/>
    </row>
    <row r="1279" spans="2:8">
      <c r="B1279" s="129"/>
      <c r="C1279" s="130"/>
      <c r="D1279" s="131"/>
      <c r="E1279" s="132"/>
      <c r="F1279" s="129"/>
      <c r="G1279" s="129"/>
      <c r="H1279" s="129"/>
    </row>
    <row r="1280" spans="2:8">
      <c r="B1280" s="129"/>
      <c r="C1280" s="130"/>
      <c r="D1280" s="131"/>
      <c r="E1280" s="132"/>
      <c r="F1280" s="129"/>
      <c r="G1280" s="129"/>
      <c r="H1280" s="129"/>
    </row>
    <row r="1281" spans="2:8">
      <c r="B1281" s="129"/>
      <c r="C1281" s="130"/>
      <c r="D1281" s="131"/>
      <c r="E1281" s="132"/>
      <c r="F1281" s="129"/>
      <c r="G1281" s="129"/>
      <c r="H1281" s="129"/>
    </row>
    <row r="1282" spans="2:8">
      <c r="B1282" s="129"/>
      <c r="C1282" s="130"/>
      <c r="D1282" s="131"/>
      <c r="E1282" s="132"/>
      <c r="F1282" s="129"/>
      <c r="G1282" s="129"/>
      <c r="H1282" s="129"/>
    </row>
    <row r="1283" spans="2:8">
      <c r="B1283" s="129"/>
      <c r="C1283" s="130"/>
      <c r="D1283" s="131"/>
      <c r="E1283" s="132"/>
      <c r="F1283" s="129"/>
      <c r="G1283" s="129"/>
      <c r="H1283" s="129"/>
    </row>
    <row r="1284" spans="2:8">
      <c r="B1284" s="129"/>
      <c r="C1284" s="130"/>
      <c r="D1284" s="131"/>
      <c r="E1284" s="132"/>
      <c r="F1284" s="129"/>
      <c r="G1284" s="129"/>
      <c r="H1284" s="129"/>
    </row>
    <row r="1285" spans="2:8">
      <c r="B1285" s="129"/>
      <c r="C1285" s="130"/>
      <c r="D1285" s="131"/>
      <c r="E1285" s="132"/>
      <c r="F1285" s="129"/>
      <c r="G1285" s="129"/>
      <c r="H1285" s="129"/>
    </row>
    <row r="1286" spans="2:8">
      <c r="B1286" s="129"/>
      <c r="C1286" s="130"/>
      <c r="D1286" s="131"/>
      <c r="E1286" s="132"/>
      <c r="F1286" s="129"/>
      <c r="G1286" s="129"/>
      <c r="H1286" s="129"/>
    </row>
    <row r="1287" spans="2:8">
      <c r="B1287" s="129"/>
      <c r="C1287" s="130"/>
      <c r="D1287" s="131"/>
      <c r="E1287" s="132"/>
      <c r="F1287" s="129"/>
      <c r="G1287" s="129"/>
      <c r="H1287" s="129"/>
    </row>
    <row r="1288" spans="2:8">
      <c r="B1288" s="129"/>
      <c r="C1288" s="130"/>
      <c r="D1288" s="131"/>
      <c r="E1288" s="132"/>
      <c r="F1288" s="129"/>
      <c r="G1288" s="129"/>
      <c r="H1288" s="129"/>
    </row>
    <row r="1289" spans="2:8">
      <c r="B1289" s="129"/>
      <c r="C1289" s="130"/>
      <c r="D1289" s="131"/>
      <c r="E1289" s="132"/>
      <c r="F1289" s="129"/>
      <c r="G1289" s="129"/>
      <c r="H1289" s="129"/>
    </row>
    <row r="1290" spans="2:8">
      <c r="B1290" s="129"/>
      <c r="C1290" s="130"/>
      <c r="D1290" s="131"/>
      <c r="E1290" s="132"/>
      <c r="F1290" s="129"/>
      <c r="G1290" s="129"/>
      <c r="H1290" s="129"/>
    </row>
    <row r="1291" spans="2:8">
      <c r="B1291" s="129"/>
      <c r="C1291" s="130"/>
      <c r="D1291" s="131"/>
      <c r="E1291" s="132"/>
      <c r="F1291" s="129"/>
      <c r="G1291" s="129"/>
      <c r="H1291" s="129"/>
    </row>
    <row r="1292" spans="2:8">
      <c r="B1292" s="129"/>
      <c r="C1292" s="130"/>
      <c r="D1292" s="131"/>
      <c r="E1292" s="132"/>
      <c r="F1292" s="129"/>
      <c r="G1292" s="129"/>
      <c r="H1292" s="129"/>
    </row>
    <row r="1293" spans="2:8">
      <c r="B1293" s="129"/>
      <c r="C1293" s="130"/>
      <c r="D1293" s="131"/>
      <c r="E1293" s="132"/>
      <c r="F1293" s="129"/>
      <c r="G1293" s="129"/>
      <c r="H1293" s="129"/>
    </row>
    <row r="1294" spans="2:8">
      <c r="B1294" s="129"/>
      <c r="C1294" s="130"/>
      <c r="D1294" s="131"/>
      <c r="E1294" s="132"/>
      <c r="F1294" s="129"/>
      <c r="G1294" s="129"/>
      <c r="H1294" s="129"/>
    </row>
    <row r="1295" spans="2:8">
      <c r="B1295" s="129"/>
      <c r="C1295" s="130"/>
      <c r="D1295" s="131"/>
      <c r="E1295" s="132"/>
      <c r="F1295" s="129"/>
      <c r="G1295" s="129"/>
      <c r="H1295" s="129"/>
    </row>
    <row r="1296" spans="2:8">
      <c r="B1296" s="129"/>
      <c r="C1296" s="130"/>
      <c r="D1296" s="131"/>
      <c r="E1296" s="132"/>
      <c r="F1296" s="129"/>
      <c r="G1296" s="129"/>
      <c r="H1296" s="129"/>
    </row>
    <row r="1297" spans="2:8">
      <c r="B1297" s="129"/>
      <c r="C1297" s="130"/>
      <c r="D1297" s="131"/>
      <c r="E1297" s="132"/>
      <c r="F1297" s="129"/>
      <c r="G1297" s="129"/>
      <c r="H1297" s="129"/>
    </row>
    <row r="1298" spans="2:8">
      <c r="B1298" s="129"/>
      <c r="C1298" s="130"/>
      <c r="D1298" s="131"/>
      <c r="E1298" s="132"/>
      <c r="F1298" s="129"/>
      <c r="G1298" s="129"/>
      <c r="H1298" s="129"/>
    </row>
    <row r="1299" spans="2:8">
      <c r="B1299" s="129"/>
      <c r="C1299" s="130"/>
      <c r="D1299" s="131"/>
      <c r="E1299" s="132"/>
      <c r="F1299" s="129"/>
      <c r="G1299" s="129"/>
      <c r="H1299" s="129"/>
    </row>
    <row r="1300" spans="2:8">
      <c r="B1300" s="129"/>
      <c r="C1300" s="130"/>
      <c r="D1300" s="131"/>
      <c r="E1300" s="132"/>
      <c r="F1300" s="129"/>
      <c r="G1300" s="129"/>
      <c r="H1300" s="129"/>
    </row>
    <row r="1301" spans="2:8">
      <c r="B1301" s="129"/>
      <c r="C1301" s="130"/>
      <c r="D1301" s="131"/>
      <c r="E1301" s="132"/>
      <c r="F1301" s="129"/>
      <c r="G1301" s="129"/>
      <c r="H1301" s="129"/>
    </row>
    <row r="1302" spans="2:8">
      <c r="B1302" s="129"/>
      <c r="C1302" s="130"/>
      <c r="D1302" s="131"/>
      <c r="E1302" s="132"/>
      <c r="F1302" s="129"/>
      <c r="G1302" s="129"/>
      <c r="H1302" s="129"/>
    </row>
    <row r="1303" spans="2:8">
      <c r="B1303" s="129"/>
      <c r="C1303" s="130"/>
      <c r="D1303" s="131"/>
      <c r="E1303" s="132"/>
      <c r="F1303" s="129"/>
      <c r="G1303" s="129"/>
      <c r="H1303" s="129"/>
    </row>
    <row r="1304" spans="2:8">
      <c r="B1304" s="129"/>
      <c r="C1304" s="130"/>
      <c r="D1304" s="131"/>
      <c r="E1304" s="132"/>
      <c r="F1304" s="129"/>
      <c r="G1304" s="129"/>
      <c r="H1304" s="129"/>
    </row>
    <row r="1305" spans="2:8">
      <c r="B1305" s="129"/>
      <c r="C1305" s="130"/>
      <c r="D1305" s="131"/>
      <c r="E1305" s="132"/>
      <c r="F1305" s="129"/>
      <c r="G1305" s="129"/>
      <c r="H1305" s="129"/>
    </row>
    <row r="1306" spans="2:8">
      <c r="B1306" s="129"/>
      <c r="C1306" s="130"/>
      <c r="D1306" s="131"/>
      <c r="E1306" s="132"/>
      <c r="F1306" s="129"/>
      <c r="G1306" s="129"/>
      <c r="H1306" s="129"/>
    </row>
    <row r="1307" spans="2:8">
      <c r="B1307" s="129"/>
      <c r="C1307" s="130"/>
      <c r="D1307" s="131"/>
      <c r="E1307" s="132"/>
      <c r="F1307" s="129"/>
      <c r="G1307" s="129"/>
      <c r="H1307" s="129"/>
    </row>
    <row r="1308" spans="2:8">
      <c r="B1308" s="129"/>
      <c r="C1308" s="130"/>
      <c r="D1308" s="131"/>
      <c r="E1308" s="132"/>
      <c r="F1308" s="129"/>
      <c r="G1308" s="129"/>
      <c r="H1308" s="129"/>
    </row>
    <row r="1309" spans="2:8">
      <c r="B1309" s="129"/>
      <c r="C1309" s="130"/>
      <c r="D1309" s="131"/>
      <c r="E1309" s="132"/>
      <c r="F1309" s="129"/>
      <c r="G1309" s="129"/>
      <c r="H1309" s="129"/>
    </row>
    <row r="1310" spans="2:8">
      <c r="B1310" s="129"/>
      <c r="C1310" s="130"/>
      <c r="D1310" s="131"/>
      <c r="E1310" s="132"/>
      <c r="F1310" s="129"/>
      <c r="G1310" s="129"/>
      <c r="H1310" s="129"/>
    </row>
    <row r="1311" spans="2:8">
      <c r="B1311" s="129"/>
      <c r="C1311" s="130"/>
      <c r="D1311" s="131"/>
      <c r="E1311" s="132"/>
      <c r="F1311" s="129"/>
      <c r="G1311" s="129"/>
      <c r="H1311" s="129"/>
    </row>
    <row r="1312" spans="2:8">
      <c r="B1312" s="129"/>
      <c r="C1312" s="130"/>
      <c r="D1312" s="131"/>
      <c r="E1312" s="132"/>
      <c r="F1312" s="129"/>
      <c r="G1312" s="129"/>
      <c r="H1312" s="129"/>
    </row>
    <row r="1313" spans="2:8">
      <c r="B1313" s="129"/>
      <c r="C1313" s="130"/>
      <c r="D1313" s="131"/>
      <c r="E1313" s="132"/>
      <c r="F1313" s="129"/>
      <c r="G1313" s="129"/>
      <c r="H1313" s="129"/>
    </row>
    <row r="1314" spans="2:8">
      <c r="B1314" s="129"/>
      <c r="C1314" s="130"/>
      <c r="D1314" s="131"/>
      <c r="E1314" s="132"/>
      <c r="F1314" s="129"/>
      <c r="G1314" s="129"/>
      <c r="H1314" s="129"/>
    </row>
    <row r="1315" spans="2:8">
      <c r="B1315" s="129"/>
      <c r="C1315" s="130"/>
      <c r="D1315" s="131"/>
      <c r="E1315" s="132"/>
      <c r="F1315" s="129"/>
      <c r="G1315" s="129"/>
      <c r="H1315" s="129"/>
    </row>
    <row r="1316" spans="2:8">
      <c r="B1316" s="129"/>
      <c r="C1316" s="130"/>
      <c r="D1316" s="131"/>
      <c r="E1316" s="132"/>
      <c r="F1316" s="129"/>
      <c r="G1316" s="129"/>
      <c r="H1316" s="129"/>
    </row>
    <row r="1317" spans="2:8">
      <c r="B1317" s="129"/>
      <c r="C1317" s="130"/>
      <c r="D1317" s="131"/>
      <c r="E1317" s="132"/>
      <c r="F1317" s="129"/>
      <c r="G1317" s="129"/>
      <c r="H1317" s="129"/>
    </row>
    <row r="1318" spans="2:8">
      <c r="B1318" s="129"/>
      <c r="C1318" s="130"/>
      <c r="D1318" s="131"/>
      <c r="E1318" s="132"/>
      <c r="F1318" s="129"/>
      <c r="G1318" s="129"/>
      <c r="H1318" s="129"/>
    </row>
    <row r="1319" spans="2:8">
      <c r="B1319" s="129"/>
      <c r="C1319" s="130"/>
      <c r="D1319" s="131"/>
      <c r="E1319" s="132"/>
      <c r="F1319" s="129"/>
      <c r="G1319" s="129"/>
      <c r="H1319" s="129"/>
    </row>
    <row r="1320" spans="2:8">
      <c r="B1320" s="129"/>
      <c r="C1320" s="130"/>
      <c r="D1320" s="131"/>
      <c r="E1320" s="132"/>
      <c r="F1320" s="129"/>
      <c r="G1320" s="129"/>
      <c r="H1320" s="129"/>
    </row>
    <row r="1321" spans="2:8">
      <c r="B1321" s="129"/>
      <c r="C1321" s="130"/>
      <c r="D1321" s="131"/>
      <c r="E1321" s="132"/>
      <c r="F1321" s="129"/>
      <c r="G1321" s="129"/>
      <c r="H1321" s="129"/>
    </row>
    <row r="1322" spans="2:8">
      <c r="B1322" s="129"/>
      <c r="C1322" s="130"/>
      <c r="D1322" s="131"/>
      <c r="E1322" s="132"/>
      <c r="F1322" s="129"/>
      <c r="G1322" s="129"/>
      <c r="H1322" s="129"/>
    </row>
    <row r="1323" spans="2:8">
      <c r="B1323" s="129"/>
      <c r="C1323" s="130"/>
      <c r="D1323" s="131"/>
      <c r="E1323" s="132"/>
      <c r="F1323" s="129"/>
      <c r="G1323" s="129"/>
      <c r="H1323" s="129"/>
    </row>
    <row r="1324" spans="2:8">
      <c r="B1324" s="129"/>
      <c r="C1324" s="130"/>
      <c r="D1324" s="131"/>
      <c r="E1324" s="132"/>
      <c r="F1324" s="129"/>
      <c r="G1324" s="129"/>
      <c r="H1324" s="129"/>
    </row>
    <row r="1325" spans="2:8">
      <c r="B1325" s="129"/>
      <c r="C1325" s="130"/>
      <c r="D1325" s="131"/>
      <c r="E1325" s="132"/>
      <c r="F1325" s="129"/>
      <c r="G1325" s="129"/>
      <c r="H1325" s="129"/>
    </row>
    <row r="1326" spans="2:8">
      <c r="B1326" s="129"/>
      <c r="C1326" s="130"/>
      <c r="D1326" s="131"/>
      <c r="E1326" s="132"/>
      <c r="F1326" s="129"/>
      <c r="G1326" s="129"/>
      <c r="H1326" s="129"/>
    </row>
    <row r="1327" spans="2:8">
      <c r="B1327" s="129"/>
      <c r="C1327" s="130"/>
      <c r="D1327" s="131"/>
      <c r="E1327" s="132"/>
      <c r="F1327" s="129"/>
      <c r="G1327" s="129"/>
      <c r="H1327" s="129"/>
    </row>
    <row r="1328" spans="2:8">
      <c r="B1328" s="129"/>
      <c r="C1328" s="130"/>
      <c r="D1328" s="131"/>
      <c r="E1328" s="132"/>
      <c r="F1328" s="129"/>
      <c r="G1328" s="129"/>
      <c r="H1328" s="129"/>
    </row>
    <row r="1329" spans="2:8">
      <c r="B1329" s="129"/>
      <c r="C1329" s="130"/>
      <c r="D1329" s="131"/>
      <c r="E1329" s="132"/>
      <c r="F1329" s="129"/>
      <c r="G1329" s="129"/>
      <c r="H1329" s="129"/>
    </row>
    <row r="1330" spans="2:8">
      <c r="B1330" s="129"/>
      <c r="C1330" s="130"/>
      <c r="D1330" s="131"/>
      <c r="E1330" s="132"/>
      <c r="F1330" s="129"/>
      <c r="G1330" s="129"/>
      <c r="H1330" s="129"/>
    </row>
    <row r="1331" spans="2:8">
      <c r="B1331" s="129"/>
      <c r="C1331" s="130"/>
      <c r="D1331" s="131"/>
      <c r="E1331" s="132"/>
      <c r="F1331" s="129"/>
      <c r="G1331" s="129"/>
      <c r="H1331" s="129"/>
    </row>
    <row r="1332" spans="2:8">
      <c r="B1332" s="129"/>
      <c r="C1332" s="130"/>
      <c r="D1332" s="131"/>
      <c r="E1332" s="132"/>
      <c r="F1332" s="129"/>
      <c r="G1332" s="129"/>
      <c r="H1332" s="129"/>
    </row>
    <row r="1333" spans="2:8">
      <c r="B1333" s="129"/>
      <c r="C1333" s="130"/>
      <c r="D1333" s="131"/>
      <c r="E1333" s="132"/>
      <c r="F1333" s="129"/>
      <c r="G1333" s="129"/>
      <c r="H1333" s="129"/>
    </row>
    <row r="1334" spans="2:8">
      <c r="B1334" s="129"/>
      <c r="C1334" s="130"/>
      <c r="D1334" s="131"/>
      <c r="E1334" s="132"/>
      <c r="F1334" s="129"/>
      <c r="G1334" s="129"/>
      <c r="H1334" s="129"/>
    </row>
    <row r="1335" spans="2:8">
      <c r="B1335" s="129"/>
      <c r="C1335" s="130"/>
      <c r="D1335" s="131"/>
      <c r="E1335" s="132"/>
      <c r="F1335" s="129"/>
      <c r="G1335" s="129"/>
      <c r="H1335" s="129"/>
    </row>
    <row r="1336" spans="2:8">
      <c r="B1336" s="129"/>
      <c r="C1336" s="130"/>
      <c r="D1336" s="131"/>
      <c r="E1336" s="132"/>
      <c r="F1336" s="129"/>
      <c r="G1336" s="129"/>
      <c r="H1336" s="129"/>
    </row>
    <row r="1337" spans="2:8">
      <c r="B1337" s="129"/>
      <c r="C1337" s="130"/>
      <c r="D1337" s="131"/>
      <c r="E1337" s="132"/>
      <c r="F1337" s="129"/>
      <c r="G1337" s="129"/>
      <c r="H1337" s="129"/>
    </row>
    <row r="1338" spans="2:8">
      <c r="B1338" s="129"/>
      <c r="C1338" s="130"/>
      <c r="D1338" s="131"/>
      <c r="E1338" s="132"/>
      <c r="F1338" s="129"/>
      <c r="G1338" s="129"/>
      <c r="H1338" s="129"/>
    </row>
    <row r="1339" spans="2:8">
      <c r="B1339" s="129"/>
      <c r="C1339" s="130"/>
      <c r="D1339" s="131"/>
      <c r="E1339" s="132"/>
      <c r="F1339" s="129"/>
      <c r="G1339" s="129"/>
      <c r="H1339" s="129"/>
    </row>
    <row r="1340" spans="2:8">
      <c r="B1340" s="129"/>
      <c r="C1340" s="130"/>
      <c r="D1340" s="131"/>
      <c r="E1340" s="132"/>
      <c r="F1340" s="129"/>
      <c r="G1340" s="129"/>
      <c r="H1340" s="129"/>
    </row>
    <row r="1341" spans="2:8">
      <c r="B1341" s="129"/>
      <c r="C1341" s="130"/>
      <c r="D1341" s="131"/>
      <c r="E1341" s="132"/>
      <c r="F1341" s="129"/>
      <c r="G1341" s="129"/>
      <c r="H1341" s="129"/>
    </row>
    <row r="1342" spans="2:8">
      <c r="B1342" s="129"/>
      <c r="C1342" s="130"/>
      <c r="D1342" s="131"/>
      <c r="E1342" s="132"/>
      <c r="F1342" s="129"/>
      <c r="G1342" s="129"/>
      <c r="H1342" s="129"/>
    </row>
    <row r="1343" spans="2:8">
      <c r="B1343" s="129"/>
      <c r="C1343" s="130"/>
      <c r="D1343" s="131"/>
      <c r="E1343" s="132"/>
      <c r="F1343" s="129"/>
      <c r="G1343" s="129"/>
      <c r="H1343" s="129"/>
    </row>
    <row r="1344" spans="2:8">
      <c r="B1344" s="129"/>
      <c r="C1344" s="130"/>
      <c r="D1344" s="131"/>
      <c r="E1344" s="132"/>
      <c r="F1344" s="129"/>
      <c r="G1344" s="129"/>
      <c r="H1344" s="129"/>
    </row>
    <row r="1345" spans="2:8">
      <c r="B1345" s="129"/>
      <c r="C1345" s="130"/>
      <c r="D1345" s="131"/>
      <c r="E1345" s="132"/>
      <c r="F1345" s="129"/>
      <c r="G1345" s="129"/>
      <c r="H1345" s="129"/>
    </row>
    <row r="1346" spans="2:8">
      <c r="B1346" s="129"/>
      <c r="C1346" s="130"/>
      <c r="D1346" s="131"/>
      <c r="E1346" s="132"/>
      <c r="F1346" s="129"/>
      <c r="G1346" s="129"/>
      <c r="H1346" s="129"/>
    </row>
    <row r="1347" spans="2:8">
      <c r="B1347" s="129"/>
      <c r="C1347" s="130"/>
      <c r="D1347" s="131"/>
      <c r="E1347" s="132"/>
      <c r="F1347" s="129"/>
      <c r="G1347" s="129"/>
      <c r="H1347" s="129"/>
    </row>
    <row r="1348" spans="2:8">
      <c r="B1348" s="129"/>
      <c r="C1348" s="130"/>
      <c r="D1348" s="131"/>
      <c r="E1348" s="132"/>
      <c r="F1348" s="129"/>
      <c r="G1348" s="129"/>
      <c r="H1348" s="129"/>
    </row>
    <row r="1349" spans="2:8">
      <c r="B1349" s="129"/>
      <c r="C1349" s="130"/>
      <c r="D1349" s="131"/>
      <c r="E1349" s="132"/>
      <c r="F1349" s="129"/>
      <c r="G1349" s="129"/>
      <c r="H1349" s="129"/>
    </row>
    <row r="1350" spans="2:8">
      <c r="B1350" s="129"/>
      <c r="C1350" s="130"/>
      <c r="D1350" s="131"/>
      <c r="E1350" s="132"/>
      <c r="F1350" s="129"/>
      <c r="G1350" s="129"/>
      <c r="H1350" s="129"/>
    </row>
    <row r="1351" spans="2:8">
      <c r="B1351" s="129"/>
      <c r="C1351" s="130"/>
      <c r="D1351" s="131"/>
      <c r="E1351" s="132"/>
      <c r="F1351" s="129"/>
      <c r="G1351" s="129"/>
      <c r="H1351" s="129"/>
    </row>
    <row r="1352" spans="2:8">
      <c r="B1352" s="129"/>
      <c r="C1352" s="130"/>
      <c r="D1352" s="131"/>
      <c r="E1352" s="132"/>
      <c r="F1352" s="129"/>
      <c r="G1352" s="129"/>
      <c r="H1352" s="129"/>
    </row>
    <row r="1353" spans="2:8">
      <c r="B1353" s="129"/>
      <c r="C1353" s="130"/>
      <c r="D1353" s="131"/>
      <c r="E1353" s="132"/>
      <c r="F1353" s="129"/>
      <c r="G1353" s="129"/>
      <c r="H1353" s="129"/>
    </row>
    <row r="1354" spans="2:8">
      <c r="B1354" s="129"/>
      <c r="C1354" s="130"/>
      <c r="D1354" s="131"/>
      <c r="E1354" s="132"/>
      <c r="F1354" s="129"/>
      <c r="G1354" s="129"/>
      <c r="H1354" s="129"/>
    </row>
    <row r="1355" spans="2:8">
      <c r="B1355" s="129"/>
      <c r="C1355" s="130"/>
      <c r="D1355" s="131"/>
      <c r="E1355" s="132"/>
      <c r="F1355" s="129"/>
      <c r="G1355" s="129"/>
      <c r="H1355" s="129"/>
    </row>
    <row r="1356" spans="2:8">
      <c r="B1356" s="129"/>
      <c r="C1356" s="130"/>
      <c r="D1356" s="131"/>
      <c r="E1356" s="132"/>
      <c r="F1356" s="129"/>
      <c r="G1356" s="129"/>
      <c r="H1356" s="129"/>
    </row>
    <row r="1357" spans="2:8">
      <c r="B1357" s="129"/>
      <c r="C1357" s="130"/>
      <c r="D1357" s="131"/>
      <c r="E1357" s="132"/>
      <c r="F1357" s="129"/>
      <c r="G1357" s="129"/>
      <c r="H1357" s="129"/>
    </row>
    <row r="1358" spans="2:8">
      <c r="B1358" s="129"/>
      <c r="C1358" s="130"/>
      <c r="D1358" s="131"/>
      <c r="E1358" s="132"/>
      <c r="F1358" s="129"/>
      <c r="G1358" s="129"/>
      <c r="H1358" s="129"/>
    </row>
    <row r="1359" spans="2:8">
      <c r="B1359" s="129"/>
      <c r="C1359" s="130"/>
      <c r="D1359" s="131"/>
      <c r="E1359" s="132"/>
      <c r="F1359" s="129"/>
      <c r="G1359" s="129"/>
      <c r="H1359" s="129"/>
    </row>
    <row r="1360" spans="2:8">
      <c r="B1360" s="129"/>
      <c r="C1360" s="130"/>
      <c r="D1360" s="131"/>
      <c r="E1360" s="132"/>
      <c r="F1360" s="129"/>
      <c r="G1360" s="129"/>
      <c r="H1360" s="129"/>
    </row>
    <row r="1361" spans="2:8">
      <c r="B1361" s="129"/>
      <c r="C1361" s="130"/>
      <c r="D1361" s="131"/>
      <c r="E1361" s="132"/>
      <c r="F1361" s="129"/>
      <c r="G1361" s="129"/>
      <c r="H1361" s="129"/>
    </row>
    <row r="1362" spans="2:8">
      <c r="B1362" s="129"/>
      <c r="C1362" s="130"/>
      <c r="D1362" s="131"/>
      <c r="E1362" s="132"/>
      <c r="F1362" s="129"/>
      <c r="G1362" s="129"/>
      <c r="H1362" s="129"/>
    </row>
    <row r="1363" spans="2:8">
      <c r="B1363" s="129"/>
      <c r="C1363" s="130"/>
      <c r="D1363" s="131"/>
      <c r="E1363" s="132"/>
      <c r="F1363" s="129"/>
      <c r="G1363" s="129"/>
      <c r="H1363" s="129"/>
    </row>
    <row r="1364" spans="2:8">
      <c r="B1364" s="129"/>
      <c r="C1364" s="130"/>
      <c r="D1364" s="131"/>
      <c r="E1364" s="132"/>
      <c r="F1364" s="129"/>
      <c r="G1364" s="129"/>
      <c r="H1364" s="129"/>
    </row>
    <row r="1365" spans="2:8">
      <c r="B1365" s="129"/>
      <c r="C1365" s="130"/>
      <c r="D1365" s="131"/>
      <c r="E1365" s="132"/>
      <c r="F1365" s="129"/>
      <c r="G1365" s="129"/>
      <c r="H1365" s="129"/>
    </row>
    <row r="1366" spans="2:8">
      <c r="B1366" s="129"/>
      <c r="C1366" s="130"/>
      <c r="D1366" s="131"/>
      <c r="E1366" s="132"/>
      <c r="F1366" s="129"/>
      <c r="G1366" s="129"/>
      <c r="H1366" s="129"/>
    </row>
    <row r="1367" spans="2:8">
      <c r="B1367" s="129"/>
      <c r="C1367" s="130"/>
      <c r="D1367" s="131"/>
      <c r="E1367" s="132"/>
      <c r="F1367" s="129"/>
      <c r="G1367" s="129"/>
      <c r="H1367" s="129"/>
    </row>
    <row r="1368" spans="2:8">
      <c r="B1368" s="129"/>
      <c r="C1368" s="130"/>
      <c r="D1368" s="131"/>
      <c r="E1368" s="132"/>
      <c r="F1368" s="129"/>
      <c r="G1368" s="129"/>
      <c r="H1368" s="129"/>
    </row>
    <row r="1369" spans="2:8">
      <c r="B1369" s="129"/>
      <c r="C1369" s="130"/>
      <c r="D1369" s="131"/>
      <c r="E1369" s="132"/>
      <c r="F1369" s="129"/>
      <c r="G1369" s="129"/>
      <c r="H1369" s="129"/>
    </row>
    <row r="1370" spans="2:8">
      <c r="B1370" s="129"/>
      <c r="C1370" s="130"/>
      <c r="D1370" s="131"/>
      <c r="E1370" s="132"/>
      <c r="F1370" s="129"/>
      <c r="G1370" s="129"/>
      <c r="H1370" s="129"/>
    </row>
    <row r="1371" spans="2:8">
      <c r="B1371" s="129"/>
      <c r="C1371" s="130"/>
      <c r="D1371" s="131"/>
      <c r="E1371" s="132"/>
      <c r="F1371" s="129"/>
      <c r="G1371" s="129"/>
      <c r="H1371" s="129"/>
    </row>
    <row r="1372" spans="2:8">
      <c r="B1372" s="129"/>
      <c r="C1372" s="130"/>
      <c r="D1372" s="131"/>
      <c r="E1372" s="132"/>
      <c r="F1372" s="129"/>
      <c r="G1372" s="129"/>
      <c r="H1372" s="129"/>
    </row>
    <row r="1373" spans="2:8">
      <c r="B1373" s="129"/>
      <c r="C1373" s="130"/>
      <c r="D1373" s="131"/>
      <c r="E1373" s="132"/>
      <c r="F1373" s="129"/>
      <c r="G1373" s="129"/>
      <c r="H1373" s="129"/>
    </row>
    <row r="1374" spans="2:8">
      <c r="B1374" s="129"/>
      <c r="C1374" s="130"/>
      <c r="D1374" s="131"/>
      <c r="E1374" s="132"/>
      <c r="F1374" s="129"/>
      <c r="G1374" s="129"/>
      <c r="H1374" s="129"/>
    </row>
    <row r="1375" spans="2:8">
      <c r="B1375" s="129"/>
      <c r="C1375" s="130"/>
      <c r="D1375" s="131"/>
      <c r="E1375" s="132"/>
      <c r="F1375" s="129"/>
      <c r="G1375" s="129"/>
      <c r="H1375" s="129"/>
    </row>
    <row r="1376" spans="2:8">
      <c r="B1376" s="129"/>
      <c r="C1376" s="130"/>
      <c r="D1376" s="131"/>
      <c r="E1376" s="132"/>
      <c r="F1376" s="129"/>
      <c r="G1376" s="129"/>
      <c r="H1376" s="129"/>
    </row>
    <row r="1377" spans="2:8">
      <c r="B1377" s="129"/>
      <c r="C1377" s="130"/>
      <c r="D1377" s="131"/>
      <c r="E1377" s="132"/>
      <c r="F1377" s="129"/>
      <c r="G1377" s="129"/>
      <c r="H1377" s="129"/>
    </row>
    <row r="1378" spans="2:8">
      <c r="B1378" s="129"/>
      <c r="C1378" s="130"/>
      <c r="D1378" s="131"/>
      <c r="E1378" s="132"/>
      <c r="F1378" s="129"/>
      <c r="G1378" s="129"/>
      <c r="H1378" s="129"/>
    </row>
    <row r="1379" spans="2:8">
      <c r="B1379" s="129"/>
      <c r="C1379" s="130"/>
      <c r="D1379" s="131"/>
      <c r="E1379" s="132"/>
      <c r="F1379" s="129"/>
      <c r="G1379" s="129"/>
      <c r="H1379" s="129"/>
    </row>
    <row r="1380" spans="2:8">
      <c r="B1380" s="129"/>
      <c r="C1380" s="130"/>
      <c r="D1380" s="131"/>
      <c r="E1380" s="132"/>
      <c r="F1380" s="129"/>
      <c r="G1380" s="129"/>
      <c r="H1380" s="129"/>
    </row>
    <row r="1381" spans="2:8">
      <c r="B1381" s="129"/>
      <c r="C1381" s="130"/>
      <c r="D1381" s="131"/>
      <c r="E1381" s="132"/>
      <c r="F1381" s="129"/>
      <c r="G1381" s="129"/>
      <c r="H1381" s="129"/>
    </row>
    <row r="1382" spans="2:8">
      <c r="B1382" s="129"/>
      <c r="C1382" s="130"/>
      <c r="D1382" s="131"/>
      <c r="E1382" s="132"/>
      <c r="F1382" s="129"/>
      <c r="G1382" s="129"/>
      <c r="H1382" s="129"/>
    </row>
    <row r="1383" spans="2:8">
      <c r="B1383" s="129"/>
      <c r="C1383" s="130"/>
      <c r="D1383" s="131"/>
      <c r="E1383" s="132"/>
      <c r="F1383" s="129"/>
      <c r="G1383" s="129"/>
      <c r="H1383" s="129"/>
    </row>
    <row r="1384" spans="2:8">
      <c r="B1384" s="129"/>
      <c r="C1384" s="130"/>
      <c r="D1384" s="131"/>
      <c r="E1384" s="132"/>
      <c r="F1384" s="129"/>
      <c r="G1384" s="129"/>
      <c r="H1384" s="129"/>
    </row>
    <row r="1385" spans="2:8">
      <c r="B1385" s="129"/>
      <c r="C1385" s="130"/>
      <c r="D1385" s="131"/>
      <c r="E1385" s="132"/>
      <c r="F1385" s="129"/>
      <c r="G1385" s="129"/>
      <c r="H1385" s="129"/>
    </row>
    <row r="1386" spans="2:8">
      <c r="B1386" s="129"/>
      <c r="C1386" s="130"/>
      <c r="D1386" s="131"/>
      <c r="E1386" s="132"/>
      <c r="F1386" s="129"/>
      <c r="G1386" s="129"/>
      <c r="H1386" s="129"/>
    </row>
    <row r="1387" spans="2:8">
      <c r="B1387" s="129"/>
      <c r="C1387" s="130"/>
      <c r="D1387" s="131"/>
      <c r="E1387" s="132"/>
      <c r="F1387" s="129"/>
      <c r="G1387" s="129"/>
      <c r="H1387" s="129"/>
    </row>
    <row r="1388" spans="2:8">
      <c r="B1388" s="129"/>
      <c r="C1388" s="130"/>
      <c r="D1388" s="131"/>
      <c r="E1388" s="132"/>
      <c r="F1388" s="129"/>
      <c r="G1388" s="129"/>
      <c r="H1388" s="129"/>
    </row>
    <row r="1389" spans="2:8">
      <c r="B1389" s="129"/>
      <c r="C1389" s="130"/>
      <c r="D1389" s="131"/>
      <c r="E1389" s="132"/>
      <c r="F1389" s="129"/>
      <c r="G1389" s="129"/>
      <c r="H1389" s="129"/>
    </row>
    <row r="1390" spans="2:8">
      <c r="B1390" s="129"/>
      <c r="C1390" s="130"/>
      <c r="D1390" s="131"/>
      <c r="E1390" s="132"/>
      <c r="F1390" s="129"/>
      <c r="G1390" s="129"/>
      <c r="H1390" s="129"/>
    </row>
    <row r="1391" spans="2:8">
      <c r="B1391" s="129"/>
      <c r="C1391" s="130"/>
      <c r="D1391" s="131"/>
      <c r="E1391" s="132"/>
      <c r="F1391" s="129"/>
      <c r="G1391" s="129"/>
      <c r="H1391" s="129"/>
    </row>
    <row r="1392" spans="2:8">
      <c r="B1392" s="129"/>
      <c r="C1392" s="130"/>
      <c r="D1392" s="131"/>
      <c r="E1392" s="132"/>
      <c r="F1392" s="129"/>
      <c r="G1392" s="129"/>
      <c r="H1392" s="129"/>
    </row>
    <row r="1393" spans="2:8">
      <c r="B1393" s="129"/>
      <c r="C1393" s="130"/>
      <c r="D1393" s="131"/>
      <c r="E1393" s="132"/>
      <c r="F1393" s="129"/>
      <c r="G1393" s="129"/>
      <c r="H1393" s="129"/>
    </row>
    <row r="1394" spans="2:8">
      <c r="B1394" s="129"/>
      <c r="C1394" s="130"/>
      <c r="D1394" s="131"/>
      <c r="E1394" s="132"/>
      <c r="F1394" s="129"/>
      <c r="G1394" s="129"/>
      <c r="H1394" s="129"/>
    </row>
    <row r="1395" spans="2:8">
      <c r="B1395" s="129"/>
      <c r="C1395" s="130"/>
      <c r="D1395" s="131"/>
      <c r="E1395" s="132"/>
      <c r="F1395" s="129"/>
      <c r="G1395" s="129"/>
      <c r="H1395" s="129"/>
    </row>
    <row r="1396" spans="2:8">
      <c r="B1396" s="129"/>
      <c r="C1396" s="130"/>
      <c r="D1396" s="131"/>
      <c r="E1396" s="132"/>
      <c r="F1396" s="129"/>
      <c r="G1396" s="129"/>
      <c r="H1396" s="129"/>
    </row>
    <row r="1397" spans="2:8">
      <c r="B1397" s="129"/>
      <c r="C1397" s="130"/>
      <c r="D1397" s="131"/>
      <c r="E1397" s="132"/>
      <c r="F1397" s="129"/>
      <c r="G1397" s="129"/>
      <c r="H1397" s="129"/>
    </row>
    <row r="1398" spans="2:8">
      <c r="B1398" s="129"/>
      <c r="C1398" s="130"/>
      <c r="D1398" s="131"/>
      <c r="E1398" s="132"/>
      <c r="F1398" s="129"/>
      <c r="G1398" s="129"/>
      <c r="H1398" s="129"/>
    </row>
    <row r="1399" spans="2:8">
      <c r="B1399" s="129"/>
      <c r="C1399" s="130"/>
      <c r="D1399" s="131"/>
      <c r="E1399" s="132"/>
      <c r="F1399" s="129"/>
      <c r="G1399" s="129"/>
      <c r="H1399" s="129"/>
    </row>
    <row r="1400" spans="2:8">
      <c r="B1400" s="129"/>
      <c r="C1400" s="130"/>
      <c r="D1400" s="131"/>
      <c r="E1400" s="132"/>
      <c r="F1400" s="129"/>
      <c r="G1400" s="129"/>
      <c r="H1400" s="129"/>
    </row>
    <row r="1401" spans="2:8">
      <c r="B1401" s="129"/>
      <c r="C1401" s="130"/>
      <c r="D1401" s="131"/>
      <c r="E1401" s="132"/>
      <c r="F1401" s="129"/>
      <c r="G1401" s="129"/>
      <c r="H1401" s="129"/>
    </row>
    <row r="1402" spans="2:8">
      <c r="B1402" s="129"/>
      <c r="C1402" s="130"/>
      <c r="D1402" s="131"/>
      <c r="E1402" s="132"/>
      <c r="F1402" s="129"/>
      <c r="G1402" s="129"/>
      <c r="H1402" s="129"/>
    </row>
    <row r="1403" spans="2:8">
      <c r="B1403" s="129"/>
      <c r="C1403" s="130"/>
      <c r="D1403" s="131"/>
      <c r="E1403" s="132"/>
      <c r="F1403" s="129"/>
      <c r="G1403" s="129"/>
      <c r="H1403" s="129"/>
    </row>
    <row r="1404" spans="2:8">
      <c r="B1404" s="129"/>
      <c r="C1404" s="130"/>
      <c r="D1404" s="131"/>
      <c r="E1404" s="132"/>
      <c r="F1404" s="129"/>
      <c r="G1404" s="129"/>
      <c r="H1404" s="129"/>
    </row>
    <row r="1405" spans="2:8">
      <c r="B1405" s="129"/>
      <c r="C1405" s="130"/>
      <c r="D1405" s="131"/>
      <c r="E1405" s="132"/>
      <c r="F1405" s="129"/>
      <c r="G1405" s="129"/>
      <c r="H1405" s="129"/>
    </row>
    <row r="1406" spans="2:8">
      <c r="B1406" s="129"/>
      <c r="C1406" s="130"/>
      <c r="D1406" s="131"/>
      <c r="E1406" s="132"/>
      <c r="F1406" s="129"/>
      <c r="G1406" s="129"/>
      <c r="H1406" s="129"/>
    </row>
    <row r="1407" spans="2:8">
      <c r="B1407" s="129"/>
      <c r="C1407" s="130"/>
      <c r="D1407" s="131"/>
      <c r="E1407" s="132"/>
      <c r="F1407" s="129"/>
      <c r="G1407" s="129"/>
      <c r="H1407" s="129"/>
    </row>
    <row r="1408" spans="2:8">
      <c r="B1408" s="129"/>
      <c r="C1408" s="130"/>
      <c r="D1408" s="131"/>
      <c r="E1408" s="132"/>
      <c r="F1408" s="129"/>
      <c r="G1408" s="129"/>
      <c r="H1408" s="129"/>
    </row>
    <row r="1409" spans="2:8">
      <c r="B1409" s="129"/>
      <c r="C1409" s="130"/>
      <c r="D1409" s="131"/>
      <c r="E1409" s="132"/>
      <c r="F1409" s="129"/>
      <c r="G1409" s="129"/>
      <c r="H1409" s="129"/>
    </row>
    <row r="1410" spans="2:8">
      <c r="B1410" s="129"/>
      <c r="C1410" s="130"/>
      <c r="D1410" s="131"/>
      <c r="E1410" s="132"/>
      <c r="F1410" s="129"/>
      <c r="G1410" s="129"/>
      <c r="H1410" s="129"/>
    </row>
    <row r="1411" spans="2:8">
      <c r="B1411" s="129"/>
      <c r="C1411" s="130"/>
      <c r="D1411" s="131"/>
      <c r="E1411" s="132"/>
      <c r="F1411" s="129"/>
      <c r="G1411" s="129"/>
      <c r="H1411" s="129"/>
    </row>
    <row r="1412" spans="2:8">
      <c r="B1412" s="129"/>
      <c r="C1412" s="130"/>
      <c r="D1412" s="131"/>
      <c r="E1412" s="132"/>
      <c r="F1412" s="129"/>
      <c r="G1412" s="129"/>
      <c r="H1412" s="129"/>
    </row>
    <row r="1413" spans="2:8">
      <c r="B1413" s="129"/>
      <c r="C1413" s="130"/>
      <c r="D1413" s="131"/>
      <c r="E1413" s="132"/>
      <c r="F1413" s="129"/>
      <c r="G1413" s="129"/>
      <c r="H1413" s="129"/>
    </row>
    <row r="1414" spans="2:8">
      <c r="B1414" s="129"/>
      <c r="C1414" s="130"/>
      <c r="D1414" s="131"/>
      <c r="E1414" s="132"/>
      <c r="F1414" s="129"/>
      <c r="G1414" s="129"/>
      <c r="H1414" s="129"/>
    </row>
    <row r="1415" spans="2:8">
      <c r="B1415" s="129"/>
      <c r="C1415" s="130"/>
      <c r="D1415" s="131"/>
      <c r="E1415" s="132"/>
      <c r="F1415" s="129"/>
      <c r="G1415" s="129"/>
      <c r="H1415" s="129"/>
    </row>
    <row r="1416" spans="2:8">
      <c r="B1416" s="129"/>
      <c r="C1416" s="130"/>
      <c r="D1416" s="131"/>
      <c r="E1416" s="132"/>
      <c r="F1416" s="129"/>
      <c r="G1416" s="129"/>
      <c r="H1416" s="129"/>
    </row>
    <row r="1417" spans="2:8">
      <c r="B1417" s="129"/>
      <c r="C1417" s="130"/>
      <c r="D1417" s="131"/>
      <c r="E1417" s="132"/>
      <c r="F1417" s="129"/>
      <c r="G1417" s="129"/>
      <c r="H1417" s="129"/>
    </row>
    <row r="1418" spans="2:8">
      <c r="B1418" s="129"/>
      <c r="C1418" s="130"/>
      <c r="D1418" s="131"/>
      <c r="E1418" s="132"/>
      <c r="F1418" s="129"/>
      <c r="G1418" s="129"/>
      <c r="H1418" s="129"/>
    </row>
    <row r="1419" spans="2:8">
      <c r="B1419" s="129"/>
      <c r="C1419" s="130"/>
      <c r="D1419" s="131"/>
      <c r="E1419" s="132"/>
      <c r="F1419" s="129"/>
      <c r="G1419" s="129"/>
      <c r="H1419" s="129"/>
    </row>
    <row r="1420" spans="2:8">
      <c r="B1420" s="129"/>
      <c r="C1420" s="130"/>
      <c r="D1420" s="131"/>
      <c r="E1420" s="132"/>
      <c r="F1420" s="129"/>
      <c r="G1420" s="129"/>
      <c r="H1420" s="129"/>
    </row>
    <row r="1421" spans="2:8">
      <c r="B1421" s="129"/>
      <c r="C1421" s="130"/>
      <c r="D1421" s="131"/>
      <c r="E1421" s="132"/>
      <c r="F1421" s="129"/>
      <c r="G1421" s="129"/>
      <c r="H1421" s="129"/>
    </row>
    <row r="1422" spans="2:8">
      <c r="B1422" s="129"/>
      <c r="C1422" s="130"/>
      <c r="D1422" s="131"/>
      <c r="E1422" s="132"/>
      <c r="F1422" s="129"/>
      <c r="G1422" s="129"/>
      <c r="H1422" s="129"/>
    </row>
    <row r="1423" spans="2:8">
      <c r="B1423" s="129"/>
      <c r="C1423" s="130"/>
      <c r="D1423" s="131"/>
      <c r="E1423" s="132"/>
      <c r="F1423" s="129"/>
      <c r="G1423" s="129"/>
      <c r="H1423" s="129"/>
    </row>
    <row r="1424" spans="2:8">
      <c r="B1424" s="129"/>
      <c r="C1424" s="130"/>
      <c r="D1424" s="131"/>
      <c r="E1424" s="132"/>
      <c r="F1424" s="129"/>
      <c r="G1424" s="129"/>
      <c r="H1424" s="129"/>
    </row>
    <row r="1425" spans="2:8">
      <c r="B1425" s="129"/>
      <c r="C1425" s="130"/>
      <c r="D1425" s="131"/>
      <c r="E1425" s="132"/>
      <c r="F1425" s="129"/>
      <c r="G1425" s="129"/>
      <c r="H1425" s="129"/>
    </row>
    <row r="1426" spans="2:8">
      <c r="B1426" s="129"/>
      <c r="C1426" s="130"/>
      <c r="D1426" s="131"/>
      <c r="E1426" s="132"/>
      <c r="F1426" s="129"/>
      <c r="G1426" s="129"/>
      <c r="H1426" s="129"/>
    </row>
    <row r="1427" spans="2:8">
      <c r="B1427" s="129"/>
      <c r="C1427" s="130"/>
      <c r="D1427" s="131"/>
      <c r="E1427" s="132"/>
      <c r="F1427" s="129"/>
      <c r="G1427" s="129"/>
      <c r="H1427" s="129"/>
    </row>
    <row r="1428" spans="2:8">
      <c r="B1428" s="129"/>
      <c r="C1428" s="130"/>
      <c r="D1428" s="131"/>
      <c r="E1428" s="132"/>
      <c r="F1428" s="129"/>
      <c r="G1428" s="129"/>
      <c r="H1428" s="129"/>
    </row>
    <row r="1429" spans="2:8">
      <c r="B1429" s="129"/>
      <c r="C1429" s="130"/>
      <c r="D1429" s="131"/>
      <c r="E1429" s="132"/>
      <c r="F1429" s="129"/>
      <c r="G1429" s="129"/>
      <c r="H1429" s="129"/>
    </row>
    <row r="1430" spans="2:8">
      <c r="B1430" s="129"/>
      <c r="C1430" s="130"/>
      <c r="D1430" s="131"/>
      <c r="E1430" s="132"/>
      <c r="F1430" s="129"/>
      <c r="G1430" s="129"/>
      <c r="H1430" s="129"/>
    </row>
    <row r="1431" spans="2:8">
      <c r="B1431" s="129"/>
      <c r="C1431" s="130"/>
      <c r="D1431" s="131"/>
      <c r="E1431" s="132"/>
      <c r="F1431" s="129"/>
      <c r="G1431" s="129"/>
      <c r="H1431" s="129"/>
    </row>
    <row r="1432" spans="2:8">
      <c r="B1432" s="129"/>
      <c r="C1432" s="130"/>
      <c r="D1432" s="131"/>
      <c r="E1432" s="132"/>
      <c r="F1432" s="129"/>
      <c r="G1432" s="129"/>
      <c r="H1432" s="129"/>
    </row>
    <row r="1433" spans="2:8">
      <c r="B1433" s="129"/>
      <c r="C1433" s="130"/>
      <c r="D1433" s="131"/>
      <c r="E1433" s="132"/>
      <c r="F1433" s="129"/>
      <c r="G1433" s="129"/>
      <c r="H1433" s="129"/>
    </row>
    <row r="1434" spans="2:8">
      <c r="B1434" s="129"/>
      <c r="C1434" s="130"/>
      <c r="D1434" s="131"/>
      <c r="E1434" s="132"/>
      <c r="F1434" s="129"/>
      <c r="G1434" s="129"/>
      <c r="H1434" s="129"/>
    </row>
    <row r="1435" spans="2:8">
      <c r="B1435" s="129"/>
      <c r="C1435" s="130"/>
      <c r="D1435" s="131"/>
      <c r="E1435" s="132"/>
      <c r="F1435" s="129"/>
      <c r="G1435" s="129"/>
      <c r="H1435" s="129"/>
    </row>
    <row r="1436" spans="2:8">
      <c r="B1436" s="129"/>
      <c r="C1436" s="130"/>
      <c r="D1436" s="131"/>
      <c r="E1436" s="132"/>
      <c r="F1436" s="129"/>
      <c r="G1436" s="129"/>
      <c r="H1436" s="129"/>
    </row>
    <row r="1437" spans="2:8">
      <c r="B1437" s="129"/>
      <c r="C1437" s="130"/>
      <c r="D1437" s="131"/>
      <c r="E1437" s="132"/>
      <c r="F1437" s="129"/>
      <c r="G1437" s="129"/>
      <c r="H1437" s="129"/>
    </row>
    <row r="1438" spans="2:8">
      <c r="B1438" s="129"/>
      <c r="C1438" s="130"/>
      <c r="D1438" s="131"/>
      <c r="E1438" s="132"/>
      <c r="F1438" s="129"/>
      <c r="G1438" s="129"/>
      <c r="H1438" s="129"/>
    </row>
    <row r="1439" spans="2:8">
      <c r="B1439" s="129"/>
      <c r="C1439" s="130"/>
      <c r="D1439" s="131"/>
      <c r="E1439" s="132"/>
      <c r="F1439" s="129"/>
      <c r="G1439" s="129"/>
      <c r="H1439" s="129"/>
    </row>
    <row r="1440" spans="2:8">
      <c r="B1440" s="129"/>
      <c r="C1440" s="130"/>
      <c r="D1440" s="131"/>
      <c r="E1440" s="132"/>
      <c r="F1440" s="129"/>
      <c r="G1440" s="129"/>
      <c r="H1440" s="129"/>
    </row>
    <row r="1441" spans="2:8">
      <c r="B1441" s="129"/>
      <c r="C1441" s="130"/>
      <c r="D1441" s="131"/>
      <c r="E1441" s="132"/>
      <c r="F1441" s="129"/>
      <c r="G1441" s="129"/>
      <c r="H1441" s="129"/>
    </row>
    <row r="1442" spans="2:8">
      <c r="B1442" s="129"/>
      <c r="C1442" s="130"/>
      <c r="D1442" s="131"/>
      <c r="E1442" s="132"/>
      <c r="F1442" s="129"/>
      <c r="G1442" s="129"/>
      <c r="H1442" s="129"/>
    </row>
    <row r="1443" spans="2:8">
      <c r="B1443" s="129"/>
      <c r="C1443" s="130"/>
      <c r="D1443" s="131"/>
      <c r="E1443" s="132"/>
      <c r="F1443" s="129"/>
      <c r="G1443" s="129"/>
      <c r="H1443" s="129"/>
    </row>
    <row r="1444" spans="2:8">
      <c r="B1444" s="129"/>
      <c r="C1444" s="130"/>
      <c r="D1444" s="131"/>
      <c r="E1444" s="132"/>
      <c r="F1444" s="129"/>
      <c r="G1444" s="129"/>
      <c r="H1444" s="129"/>
    </row>
    <row r="1445" spans="2:8">
      <c r="B1445" s="129"/>
      <c r="C1445" s="130"/>
      <c r="D1445" s="131"/>
      <c r="E1445" s="132"/>
      <c r="F1445" s="129"/>
      <c r="G1445" s="129"/>
      <c r="H1445" s="129"/>
    </row>
    <row r="1446" spans="2:8">
      <c r="B1446" s="129"/>
      <c r="C1446" s="130"/>
      <c r="D1446" s="131"/>
      <c r="E1446" s="132"/>
      <c r="F1446" s="129"/>
      <c r="G1446" s="129"/>
      <c r="H1446" s="129"/>
    </row>
    <row r="1447" spans="2:8">
      <c r="B1447" s="129"/>
      <c r="C1447" s="130"/>
      <c r="D1447" s="131"/>
      <c r="E1447" s="132"/>
      <c r="F1447" s="129"/>
      <c r="G1447" s="129"/>
      <c r="H1447" s="129"/>
    </row>
    <row r="1448" spans="2:8">
      <c r="B1448" s="129"/>
      <c r="C1448" s="130"/>
      <c r="D1448" s="131"/>
      <c r="E1448" s="132"/>
      <c r="F1448" s="129"/>
      <c r="G1448" s="129"/>
      <c r="H1448" s="129"/>
    </row>
    <row r="1449" spans="2:8">
      <c r="B1449" s="129"/>
      <c r="C1449" s="130"/>
      <c r="D1449" s="131"/>
      <c r="E1449" s="132"/>
      <c r="F1449" s="129"/>
      <c r="G1449" s="129"/>
      <c r="H1449" s="129"/>
    </row>
    <row r="1450" spans="2:8">
      <c r="B1450" s="129"/>
      <c r="C1450" s="130"/>
      <c r="D1450" s="131"/>
      <c r="E1450" s="132"/>
      <c r="F1450" s="129"/>
      <c r="G1450" s="129"/>
      <c r="H1450" s="129"/>
    </row>
    <row r="1451" spans="2:8">
      <c r="B1451" s="129"/>
      <c r="C1451" s="130"/>
      <c r="D1451" s="131"/>
      <c r="E1451" s="132"/>
      <c r="F1451" s="129"/>
      <c r="G1451" s="129"/>
      <c r="H1451" s="129"/>
    </row>
    <row r="1452" spans="2:8">
      <c r="B1452" s="129"/>
      <c r="C1452" s="130"/>
      <c r="D1452" s="131"/>
      <c r="E1452" s="132"/>
      <c r="F1452" s="129"/>
      <c r="G1452" s="129"/>
      <c r="H1452" s="129"/>
    </row>
    <row r="1453" spans="2:8">
      <c r="B1453" s="129"/>
      <c r="C1453" s="130"/>
      <c r="D1453" s="131"/>
      <c r="E1453" s="132"/>
      <c r="F1453" s="129"/>
      <c r="G1453" s="129"/>
      <c r="H1453" s="129"/>
    </row>
    <row r="1454" spans="2:8">
      <c r="B1454" s="129"/>
      <c r="C1454" s="130"/>
      <c r="D1454" s="131"/>
      <c r="E1454" s="132"/>
      <c r="F1454" s="129"/>
      <c r="G1454" s="129"/>
      <c r="H1454" s="129"/>
    </row>
    <row r="1455" spans="2:8">
      <c r="B1455" s="129"/>
      <c r="C1455" s="130"/>
      <c r="D1455" s="131"/>
      <c r="E1455" s="132"/>
      <c r="F1455" s="129"/>
      <c r="G1455" s="129"/>
      <c r="H1455" s="129"/>
    </row>
    <row r="1456" spans="2:8">
      <c r="B1456" s="129"/>
      <c r="C1456" s="130"/>
      <c r="D1456" s="131"/>
      <c r="E1456" s="132"/>
      <c r="F1456" s="129"/>
      <c r="G1456" s="129"/>
      <c r="H1456" s="129"/>
    </row>
    <row r="1457" spans="2:8">
      <c r="B1457" s="129"/>
      <c r="C1457" s="130"/>
      <c r="D1457" s="131"/>
      <c r="E1457" s="132"/>
      <c r="F1457" s="129"/>
      <c r="G1457" s="129"/>
      <c r="H1457" s="129"/>
    </row>
    <row r="1458" spans="2:8">
      <c r="B1458" s="129"/>
      <c r="C1458" s="130"/>
      <c r="D1458" s="131"/>
      <c r="E1458" s="132"/>
      <c r="F1458" s="129"/>
      <c r="G1458" s="129"/>
      <c r="H1458" s="129"/>
    </row>
    <row r="1459" spans="2:8">
      <c r="B1459" s="129"/>
      <c r="C1459" s="130"/>
      <c r="D1459" s="131"/>
      <c r="E1459" s="132"/>
      <c r="F1459" s="129"/>
      <c r="G1459" s="129"/>
      <c r="H1459" s="129"/>
    </row>
    <row r="1460" spans="2:8">
      <c r="B1460" s="129"/>
      <c r="C1460" s="130"/>
      <c r="D1460" s="131"/>
      <c r="E1460" s="132"/>
      <c r="F1460" s="129"/>
      <c r="G1460" s="129"/>
      <c r="H1460" s="129"/>
    </row>
    <row r="1461" spans="2:8">
      <c r="B1461" s="129"/>
      <c r="C1461" s="130"/>
      <c r="D1461" s="131"/>
      <c r="E1461" s="132"/>
      <c r="F1461" s="129"/>
      <c r="G1461" s="129"/>
      <c r="H1461" s="129"/>
    </row>
    <row r="1462" spans="2:8">
      <c r="B1462" s="129"/>
      <c r="C1462" s="130"/>
      <c r="D1462" s="131"/>
      <c r="E1462" s="132"/>
      <c r="F1462" s="129"/>
      <c r="G1462" s="129"/>
      <c r="H1462" s="129"/>
    </row>
    <row r="1463" spans="2:8">
      <c r="B1463" s="129"/>
      <c r="C1463" s="130"/>
      <c r="D1463" s="131"/>
      <c r="E1463" s="132"/>
      <c r="F1463" s="129"/>
      <c r="G1463" s="129"/>
      <c r="H1463" s="129"/>
    </row>
    <row r="1464" spans="2:8">
      <c r="B1464" s="129"/>
      <c r="C1464" s="130"/>
      <c r="D1464" s="131"/>
      <c r="E1464" s="132"/>
      <c r="F1464" s="129"/>
      <c r="G1464" s="129"/>
      <c r="H1464" s="129"/>
    </row>
    <row r="1465" spans="2:8">
      <c r="B1465" s="129"/>
      <c r="C1465" s="130"/>
      <c r="D1465" s="131"/>
      <c r="E1465" s="132"/>
      <c r="F1465" s="129"/>
      <c r="G1465" s="129"/>
      <c r="H1465" s="129"/>
    </row>
    <row r="1466" spans="2:8">
      <c r="B1466" s="129"/>
      <c r="C1466" s="130"/>
      <c r="D1466" s="131"/>
      <c r="E1466" s="132"/>
      <c r="F1466" s="129"/>
      <c r="G1466" s="129"/>
      <c r="H1466" s="129"/>
    </row>
    <row r="1467" spans="2:8">
      <c r="B1467" s="129"/>
      <c r="C1467" s="130"/>
      <c r="D1467" s="131"/>
      <c r="E1467" s="132"/>
      <c r="F1467" s="129"/>
      <c r="G1467" s="129"/>
      <c r="H1467" s="129"/>
    </row>
    <row r="1468" spans="2:8">
      <c r="B1468" s="129"/>
      <c r="C1468" s="130"/>
      <c r="D1468" s="131"/>
      <c r="E1468" s="132"/>
      <c r="F1468" s="129"/>
      <c r="G1468" s="129"/>
      <c r="H1468" s="129"/>
    </row>
    <row r="1469" spans="2:8">
      <c r="B1469" s="129"/>
      <c r="C1469" s="130"/>
      <c r="D1469" s="131"/>
      <c r="E1469" s="132"/>
      <c r="F1469" s="129"/>
      <c r="G1469" s="129"/>
      <c r="H1469" s="129"/>
    </row>
    <row r="1470" spans="2:8">
      <c r="B1470" s="129"/>
      <c r="C1470" s="130"/>
      <c r="D1470" s="131"/>
      <c r="E1470" s="132"/>
      <c r="F1470" s="129"/>
      <c r="G1470" s="129"/>
      <c r="H1470" s="129"/>
    </row>
    <row r="1471" spans="2:8">
      <c r="B1471" s="129"/>
      <c r="C1471" s="130"/>
      <c r="D1471" s="131"/>
      <c r="E1471" s="132"/>
      <c r="F1471" s="129"/>
      <c r="G1471" s="129"/>
      <c r="H1471" s="129"/>
    </row>
    <row r="1472" spans="2:8">
      <c r="B1472" s="129"/>
      <c r="C1472" s="130"/>
      <c r="D1472" s="131"/>
      <c r="E1472" s="132"/>
      <c r="F1472" s="129"/>
      <c r="G1472" s="129"/>
      <c r="H1472" s="129"/>
    </row>
    <row r="1473" spans="2:8">
      <c r="B1473" s="129"/>
      <c r="C1473" s="130"/>
      <c r="D1473" s="131"/>
      <c r="E1473" s="132"/>
      <c r="F1473" s="129"/>
      <c r="G1473" s="129"/>
      <c r="H1473" s="129"/>
    </row>
    <row r="1474" spans="2:8">
      <c r="B1474" s="129"/>
      <c r="C1474" s="130"/>
      <c r="D1474" s="131"/>
      <c r="E1474" s="132"/>
      <c r="F1474" s="129"/>
      <c r="G1474" s="129"/>
      <c r="H1474" s="129"/>
    </row>
    <row r="1475" spans="2:8">
      <c r="B1475" s="129"/>
      <c r="C1475" s="130"/>
      <c r="D1475" s="131"/>
      <c r="E1475" s="132"/>
      <c r="F1475" s="129"/>
      <c r="G1475" s="129"/>
      <c r="H1475" s="129"/>
    </row>
    <row r="1476" spans="2:8">
      <c r="B1476" s="129"/>
      <c r="C1476" s="130"/>
      <c r="D1476" s="131"/>
      <c r="E1476" s="132"/>
      <c r="F1476" s="129"/>
      <c r="G1476" s="129"/>
      <c r="H1476" s="129"/>
    </row>
    <row r="1477" spans="2:8">
      <c r="B1477" s="129"/>
      <c r="C1477" s="130"/>
      <c r="D1477" s="131"/>
      <c r="E1477" s="132"/>
      <c r="F1477" s="129"/>
      <c r="G1477" s="129"/>
      <c r="H1477" s="129"/>
    </row>
    <row r="1478" spans="2:8">
      <c r="B1478" s="129"/>
      <c r="C1478" s="130"/>
      <c r="D1478" s="131"/>
      <c r="E1478" s="132"/>
      <c r="F1478" s="129"/>
      <c r="G1478" s="129"/>
      <c r="H1478" s="129"/>
    </row>
    <row r="1479" spans="2:8">
      <c r="B1479" s="129"/>
      <c r="C1479" s="130"/>
      <c r="D1479" s="131"/>
      <c r="E1479" s="132"/>
      <c r="F1479" s="129"/>
      <c r="G1479" s="129"/>
      <c r="H1479" s="129"/>
    </row>
    <row r="1480" spans="2:8">
      <c r="B1480" s="129"/>
      <c r="C1480" s="130"/>
      <c r="D1480" s="131"/>
      <c r="E1480" s="132"/>
      <c r="F1480" s="129"/>
      <c r="G1480" s="129"/>
      <c r="H1480" s="129"/>
    </row>
    <row r="1481" spans="2:8">
      <c r="B1481" s="129"/>
      <c r="C1481" s="130"/>
      <c r="D1481" s="131"/>
      <c r="E1481" s="132"/>
      <c r="F1481" s="129"/>
      <c r="G1481" s="129"/>
      <c r="H1481" s="129"/>
    </row>
    <row r="1482" spans="2:8">
      <c r="B1482" s="129"/>
      <c r="C1482" s="130"/>
      <c r="D1482" s="131"/>
      <c r="E1482" s="132"/>
      <c r="F1482" s="129"/>
      <c r="G1482" s="129"/>
      <c r="H1482" s="129"/>
    </row>
    <row r="1483" spans="2:8">
      <c r="B1483" s="129"/>
      <c r="C1483" s="130"/>
      <c r="D1483" s="131"/>
      <c r="E1483" s="132"/>
      <c r="F1483" s="129"/>
      <c r="G1483" s="129"/>
      <c r="H1483" s="129"/>
    </row>
    <row r="1484" spans="2:8">
      <c r="B1484" s="129"/>
      <c r="C1484" s="130"/>
      <c r="D1484" s="131"/>
      <c r="E1484" s="132"/>
      <c r="F1484" s="129"/>
      <c r="G1484" s="129"/>
      <c r="H1484" s="129"/>
    </row>
    <row r="1485" spans="2:8">
      <c r="B1485" s="129"/>
      <c r="C1485" s="130"/>
      <c r="D1485" s="131"/>
      <c r="E1485" s="132"/>
      <c r="F1485" s="129"/>
      <c r="G1485" s="129"/>
      <c r="H1485" s="129"/>
    </row>
    <row r="1486" spans="2:8">
      <c r="B1486" s="129"/>
      <c r="C1486" s="130"/>
      <c r="D1486" s="131"/>
      <c r="E1486" s="132"/>
      <c r="F1486" s="129"/>
      <c r="G1486" s="129"/>
      <c r="H1486" s="129"/>
    </row>
    <row r="1487" spans="2:8">
      <c r="B1487" s="129"/>
      <c r="C1487" s="130"/>
      <c r="D1487" s="131"/>
      <c r="E1487" s="132"/>
      <c r="F1487" s="129"/>
      <c r="G1487" s="129"/>
      <c r="H1487" s="129"/>
    </row>
    <row r="1488" spans="2:8">
      <c r="B1488" s="129"/>
      <c r="C1488" s="130"/>
      <c r="D1488" s="131"/>
      <c r="E1488" s="132"/>
      <c r="F1488" s="129"/>
      <c r="G1488" s="129"/>
      <c r="H1488" s="129"/>
    </row>
    <row r="1489" spans="2:8">
      <c r="B1489" s="129"/>
      <c r="C1489" s="130"/>
      <c r="D1489" s="131"/>
      <c r="E1489" s="132"/>
      <c r="F1489" s="129"/>
      <c r="G1489" s="129"/>
      <c r="H1489" s="129"/>
    </row>
    <row r="1490" spans="2:8">
      <c r="B1490" s="129"/>
      <c r="C1490" s="130"/>
      <c r="D1490" s="131"/>
      <c r="E1490" s="132"/>
      <c r="F1490" s="129"/>
      <c r="G1490" s="129"/>
      <c r="H1490" s="129"/>
    </row>
    <row r="1491" spans="2:8">
      <c r="B1491" s="129"/>
      <c r="C1491" s="130"/>
      <c r="D1491" s="131"/>
      <c r="E1491" s="132"/>
      <c r="F1491" s="129"/>
      <c r="G1491" s="129"/>
      <c r="H1491" s="129"/>
    </row>
    <row r="1492" spans="2:8">
      <c r="B1492" s="129"/>
      <c r="C1492" s="130"/>
      <c r="D1492" s="131"/>
      <c r="E1492" s="132"/>
      <c r="F1492" s="129"/>
      <c r="G1492" s="129"/>
      <c r="H1492" s="129"/>
    </row>
    <row r="1493" spans="2:8">
      <c r="B1493" s="129"/>
      <c r="C1493" s="130"/>
      <c r="D1493" s="131"/>
      <c r="E1493" s="132"/>
      <c r="F1493" s="129"/>
      <c r="G1493" s="129"/>
      <c r="H1493" s="129"/>
    </row>
    <row r="1494" spans="2:8">
      <c r="B1494" s="129"/>
      <c r="C1494" s="130"/>
      <c r="D1494" s="131"/>
      <c r="E1494" s="132"/>
      <c r="F1494" s="129"/>
      <c r="G1494" s="129"/>
      <c r="H1494" s="129"/>
    </row>
    <row r="1495" spans="2:8">
      <c r="B1495" s="129"/>
      <c r="C1495" s="130"/>
      <c r="D1495" s="131"/>
      <c r="E1495" s="132"/>
      <c r="F1495" s="129"/>
      <c r="G1495" s="129"/>
      <c r="H1495" s="129"/>
    </row>
    <row r="1496" spans="2:8">
      <c r="B1496" s="129"/>
      <c r="C1496" s="130"/>
      <c r="D1496" s="131"/>
      <c r="E1496" s="132"/>
      <c r="F1496" s="129"/>
      <c r="G1496" s="129"/>
      <c r="H1496" s="129"/>
    </row>
    <row r="1497" spans="2:8">
      <c r="B1497" s="129"/>
      <c r="C1497" s="130"/>
      <c r="D1497" s="131"/>
      <c r="E1497" s="132"/>
      <c r="F1497" s="129"/>
      <c r="G1497" s="129"/>
      <c r="H1497" s="129"/>
    </row>
    <row r="1498" spans="2:8">
      <c r="B1498" s="129"/>
      <c r="C1498" s="130"/>
      <c r="D1498" s="131"/>
      <c r="E1498" s="132"/>
      <c r="F1498" s="129"/>
      <c r="G1498" s="129"/>
      <c r="H1498" s="129"/>
    </row>
    <row r="1499" spans="2:8">
      <c r="B1499" s="129"/>
      <c r="C1499" s="130"/>
      <c r="D1499" s="131"/>
      <c r="E1499" s="132"/>
      <c r="F1499" s="129"/>
      <c r="G1499" s="129"/>
      <c r="H1499" s="129"/>
    </row>
    <row r="1500" spans="2:8">
      <c r="B1500" s="129"/>
      <c r="C1500" s="130"/>
      <c r="D1500" s="131"/>
      <c r="E1500" s="132"/>
      <c r="F1500" s="129"/>
      <c r="G1500" s="129"/>
      <c r="H1500" s="129"/>
    </row>
    <row r="1501" spans="2:8">
      <c r="B1501" s="129"/>
      <c r="C1501" s="130"/>
      <c r="D1501" s="131"/>
      <c r="E1501" s="132"/>
      <c r="F1501" s="129"/>
      <c r="G1501" s="129"/>
      <c r="H1501" s="129"/>
    </row>
    <row r="1502" spans="2:8">
      <c r="B1502" s="129"/>
      <c r="C1502" s="130"/>
      <c r="D1502" s="131"/>
      <c r="E1502" s="132"/>
      <c r="F1502" s="129"/>
      <c r="G1502" s="129"/>
      <c r="H1502" s="129"/>
    </row>
    <row r="1503" spans="2:8">
      <c r="B1503" s="129"/>
      <c r="C1503" s="130"/>
      <c r="D1503" s="131"/>
      <c r="E1503" s="132"/>
      <c r="F1503" s="129"/>
      <c r="G1503" s="129"/>
      <c r="H1503" s="129"/>
    </row>
    <row r="1504" spans="2:8">
      <c r="B1504" s="129"/>
      <c r="C1504" s="130"/>
      <c r="D1504" s="131"/>
      <c r="E1504" s="132"/>
      <c r="F1504" s="129"/>
      <c r="G1504" s="129"/>
      <c r="H1504" s="129"/>
    </row>
  </sheetData>
  <autoFilter ref="B1:H994" xr:uid="{00000000-0009-0000-0000-000004000000}"/>
  <printOptions horizontalCentered="1" gridLines="1"/>
  <pageMargins left="0.7" right="0.7" top="0.75" bottom="0.75" header="0" footer="0"/>
  <pageSetup paperSize="9" pageOrder="overThenDown" orientation="portrait" cellComments="atEnd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0000000}">
          <x14:formula1>
            <xm:f>Mensal!$C$104:$D$120</xm:f>
          </x14:formula1>
          <xm:sqref>D2:D1504</xm:sqref>
        </x14:dataValidation>
        <x14:dataValidation type="list" allowBlank="1" showErrorMessage="1" xr:uid="{00000000-0002-0000-0400-000001000000}">
          <x14:formula1>
            <xm:f>Mensal!$C$123:$C$135</xm:f>
          </x14:formula1>
          <xm:sqref>C2:C1504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279"/>
  <sheetViews>
    <sheetView showGridLines="0" workbookViewId="0">
      <pane ySplit="2" topLeftCell="A216" activePane="bottomLeft" state="frozen"/>
      <selection pane="bottomLeft" activeCell="B4" sqref="B4"/>
    </sheetView>
  </sheetViews>
  <sheetFormatPr defaultColWidth="12.6640625" defaultRowHeight="15.75" customHeight="1"/>
  <cols>
    <col min="1" max="1" width="3.109375" customWidth="1"/>
    <col min="2" max="4" width="18.88671875" customWidth="1"/>
    <col min="5" max="5" width="12" customWidth="1"/>
    <col min="6" max="6" width="40.88671875" customWidth="1"/>
    <col min="7" max="7" width="3.33203125" customWidth="1"/>
  </cols>
  <sheetData>
    <row r="1" spans="1:7" ht="39.75" customHeight="1">
      <c r="A1" s="52"/>
      <c r="B1" s="53" t="s">
        <v>85</v>
      </c>
      <c r="C1" s="53"/>
      <c r="D1" s="54"/>
      <c r="E1" s="55"/>
      <c r="F1" s="53"/>
      <c r="G1" s="56"/>
    </row>
    <row r="2" spans="1:7" ht="27.6">
      <c r="A2" s="57"/>
      <c r="B2" s="58" t="s">
        <v>13</v>
      </c>
      <c r="C2" s="59" t="s">
        <v>14</v>
      </c>
      <c r="D2" s="58" t="s">
        <v>23</v>
      </c>
      <c r="E2" s="60" t="s">
        <v>15</v>
      </c>
      <c r="F2" s="61" t="s">
        <v>86</v>
      </c>
      <c r="G2" s="57"/>
    </row>
    <row r="3" spans="1:7" ht="13.2">
      <c r="A3" s="62"/>
      <c r="B3" s="63">
        <v>46061</v>
      </c>
      <c r="C3" s="64" t="s">
        <v>87</v>
      </c>
      <c r="D3" s="64" t="s">
        <v>0</v>
      </c>
      <c r="E3" s="65">
        <v>20</v>
      </c>
      <c r="F3" s="66" t="b">
        <v>1</v>
      </c>
      <c r="G3" s="62"/>
    </row>
    <row r="4" spans="1:7" ht="13.2">
      <c r="A4" s="62"/>
      <c r="B4" s="67">
        <v>46061</v>
      </c>
      <c r="C4" s="68" t="s">
        <v>88</v>
      </c>
      <c r="D4" s="68" t="s">
        <v>0</v>
      </c>
      <c r="E4" s="69">
        <v>20</v>
      </c>
      <c r="F4" s="70" t="b">
        <v>1</v>
      </c>
      <c r="G4" s="62"/>
    </row>
    <row r="5" spans="1:7" ht="13.2">
      <c r="A5" s="62"/>
      <c r="B5" s="63">
        <v>46061</v>
      </c>
      <c r="C5" s="64" t="s">
        <v>89</v>
      </c>
      <c r="D5" s="64" t="s">
        <v>0</v>
      </c>
      <c r="E5" s="65">
        <v>20</v>
      </c>
      <c r="F5" s="66" t="b">
        <v>1</v>
      </c>
      <c r="G5" s="62"/>
    </row>
    <row r="6" spans="1:7" ht="13.2">
      <c r="A6" s="62"/>
      <c r="B6" s="67">
        <v>46061</v>
      </c>
      <c r="C6" s="68" t="s">
        <v>60</v>
      </c>
      <c r="D6" s="68" t="s">
        <v>90</v>
      </c>
      <c r="E6" s="69">
        <v>20</v>
      </c>
      <c r="F6" s="70" t="b">
        <v>1</v>
      </c>
      <c r="G6" s="62"/>
    </row>
    <row r="7" spans="1:7" ht="13.2">
      <c r="A7" s="62"/>
      <c r="B7" s="63">
        <v>46061</v>
      </c>
      <c r="C7" s="64" t="s">
        <v>91</v>
      </c>
      <c r="D7" s="64" t="s">
        <v>90</v>
      </c>
      <c r="E7" s="65">
        <v>20</v>
      </c>
      <c r="F7" s="66" t="b">
        <v>1</v>
      </c>
      <c r="G7" s="62"/>
    </row>
    <row r="8" spans="1:7" ht="13.2">
      <c r="A8" s="62"/>
      <c r="B8" s="67">
        <v>46061</v>
      </c>
      <c r="C8" s="68" t="s">
        <v>29</v>
      </c>
      <c r="D8" s="68" t="s">
        <v>90</v>
      </c>
      <c r="E8" s="69">
        <v>20</v>
      </c>
      <c r="F8" s="70" t="b">
        <v>1</v>
      </c>
      <c r="G8" s="62"/>
    </row>
    <row r="9" spans="1:7" ht="13.2">
      <c r="A9" s="62"/>
      <c r="B9" s="63">
        <v>46061</v>
      </c>
      <c r="C9" s="64" t="s">
        <v>92</v>
      </c>
      <c r="D9" s="64" t="s">
        <v>90</v>
      </c>
      <c r="E9" s="65">
        <v>20</v>
      </c>
      <c r="F9" s="66" t="b">
        <v>1</v>
      </c>
      <c r="G9" s="62"/>
    </row>
    <row r="10" spans="1:7" ht="13.2">
      <c r="A10" s="62"/>
      <c r="B10" s="67">
        <v>46061</v>
      </c>
      <c r="C10" s="68" t="s">
        <v>93</v>
      </c>
      <c r="D10" s="68" t="s">
        <v>90</v>
      </c>
      <c r="E10" s="69">
        <v>20</v>
      </c>
      <c r="F10" s="70" t="b">
        <v>1</v>
      </c>
      <c r="G10" s="62"/>
    </row>
    <row r="11" spans="1:7" ht="13.2">
      <c r="A11" s="62"/>
      <c r="B11" s="63">
        <v>46061</v>
      </c>
      <c r="C11" s="64" t="s">
        <v>16</v>
      </c>
      <c r="D11" s="64" t="s">
        <v>90</v>
      </c>
      <c r="E11" s="65">
        <v>40</v>
      </c>
      <c r="F11" s="66" t="b">
        <v>1</v>
      </c>
      <c r="G11" s="62"/>
    </row>
    <row r="12" spans="1:7" ht="13.2">
      <c r="A12" s="62"/>
      <c r="B12" s="67">
        <v>46061</v>
      </c>
      <c r="C12" s="68" t="s">
        <v>94</v>
      </c>
      <c r="D12" s="68" t="s">
        <v>90</v>
      </c>
      <c r="E12" s="69">
        <v>20</v>
      </c>
      <c r="F12" s="70" t="b">
        <v>1</v>
      </c>
      <c r="G12" s="62"/>
    </row>
    <row r="13" spans="1:7" ht="13.2">
      <c r="A13" s="62"/>
      <c r="B13" s="63">
        <v>46061</v>
      </c>
      <c r="C13" s="64" t="s">
        <v>48</v>
      </c>
      <c r="D13" s="64" t="s">
        <v>90</v>
      </c>
      <c r="E13" s="65">
        <v>40</v>
      </c>
      <c r="F13" s="66" t="b">
        <v>1</v>
      </c>
      <c r="G13" s="62"/>
    </row>
    <row r="14" spans="1:7" ht="13.2">
      <c r="A14" s="62"/>
      <c r="B14" s="67">
        <v>46061</v>
      </c>
      <c r="C14" s="68" t="s">
        <v>95</v>
      </c>
      <c r="D14" s="68" t="s">
        <v>90</v>
      </c>
      <c r="E14" s="69">
        <v>20</v>
      </c>
      <c r="F14" s="70" t="b">
        <v>1</v>
      </c>
      <c r="G14" s="62"/>
    </row>
    <row r="15" spans="1:7" ht="13.2">
      <c r="A15" s="62"/>
      <c r="B15" s="63">
        <v>46061</v>
      </c>
      <c r="C15" s="64" t="s">
        <v>96</v>
      </c>
      <c r="D15" s="64" t="s">
        <v>90</v>
      </c>
      <c r="E15" s="65">
        <v>20</v>
      </c>
      <c r="F15" s="66" t="b">
        <v>1</v>
      </c>
      <c r="G15" s="62"/>
    </row>
    <row r="16" spans="1:7" ht="13.2">
      <c r="A16" s="62"/>
      <c r="B16" s="67">
        <v>46061</v>
      </c>
      <c r="C16" s="68" t="s">
        <v>97</v>
      </c>
      <c r="D16" s="68" t="s">
        <v>90</v>
      </c>
      <c r="E16" s="69">
        <v>20</v>
      </c>
      <c r="F16" s="70" t="b">
        <v>1</v>
      </c>
      <c r="G16" s="62"/>
    </row>
    <row r="17" spans="1:7" ht="13.2">
      <c r="A17" s="62"/>
      <c r="B17" s="63">
        <v>46103</v>
      </c>
      <c r="C17" s="64" t="s">
        <v>88</v>
      </c>
      <c r="D17" s="64" t="s">
        <v>1</v>
      </c>
      <c r="E17" s="65">
        <v>20</v>
      </c>
      <c r="F17" s="66" t="b">
        <v>1</v>
      </c>
      <c r="G17" s="62"/>
    </row>
    <row r="18" spans="1:7" ht="13.2">
      <c r="A18" s="62"/>
      <c r="B18" s="67">
        <v>46103</v>
      </c>
      <c r="C18" s="68" t="s">
        <v>91</v>
      </c>
      <c r="D18" s="68" t="s">
        <v>1</v>
      </c>
      <c r="E18" s="69">
        <v>20</v>
      </c>
      <c r="F18" s="70" t="b">
        <v>1</v>
      </c>
      <c r="G18" s="62"/>
    </row>
    <row r="19" spans="1:7" ht="13.2">
      <c r="A19" s="62"/>
      <c r="B19" s="63">
        <v>46103</v>
      </c>
      <c r="C19" s="64" t="s">
        <v>29</v>
      </c>
      <c r="D19" s="64" t="s">
        <v>1</v>
      </c>
      <c r="E19" s="65">
        <v>20</v>
      </c>
      <c r="F19" s="66" t="b">
        <v>1</v>
      </c>
      <c r="G19" s="62"/>
    </row>
    <row r="20" spans="1:7" ht="13.2">
      <c r="A20" s="62"/>
      <c r="B20" s="67">
        <v>46103</v>
      </c>
      <c r="C20" s="68" t="s">
        <v>89</v>
      </c>
      <c r="D20" s="68" t="s">
        <v>1</v>
      </c>
      <c r="E20" s="69">
        <v>20</v>
      </c>
      <c r="F20" s="70" t="b">
        <v>1</v>
      </c>
      <c r="G20" s="62"/>
    </row>
    <row r="21" spans="1:7" ht="13.2">
      <c r="A21" s="62"/>
      <c r="B21" s="63">
        <v>46103</v>
      </c>
      <c r="C21" s="64" t="s">
        <v>92</v>
      </c>
      <c r="D21" s="64" t="s">
        <v>1</v>
      </c>
      <c r="E21" s="65">
        <v>20</v>
      </c>
      <c r="F21" s="66" t="b">
        <v>1</v>
      </c>
      <c r="G21" s="62"/>
    </row>
    <row r="22" spans="1:7" ht="13.2">
      <c r="A22" s="62"/>
      <c r="B22" s="67">
        <v>46103</v>
      </c>
      <c r="C22" s="68" t="s">
        <v>87</v>
      </c>
      <c r="D22" s="68" t="s">
        <v>1</v>
      </c>
      <c r="E22" s="69">
        <v>20</v>
      </c>
      <c r="F22" s="70" t="b">
        <v>1</v>
      </c>
      <c r="G22" s="62"/>
    </row>
    <row r="23" spans="1:7" ht="13.2">
      <c r="A23" s="62"/>
      <c r="B23" s="63">
        <v>46103</v>
      </c>
      <c r="C23" s="64" t="s">
        <v>98</v>
      </c>
      <c r="D23" s="64" t="s">
        <v>1</v>
      </c>
      <c r="E23" s="65">
        <v>40</v>
      </c>
      <c r="F23" s="66" t="b">
        <v>1</v>
      </c>
      <c r="G23" s="62"/>
    </row>
    <row r="24" spans="1:7" ht="13.2">
      <c r="A24" s="62"/>
      <c r="B24" s="67">
        <v>46103</v>
      </c>
      <c r="C24" s="68" t="s">
        <v>100</v>
      </c>
      <c r="D24" s="68" t="s">
        <v>1</v>
      </c>
      <c r="E24" s="69">
        <v>60</v>
      </c>
      <c r="F24" s="70" t="b">
        <v>1</v>
      </c>
      <c r="G24" s="62"/>
    </row>
    <row r="25" spans="1:7" ht="13.2">
      <c r="A25" s="62"/>
      <c r="B25" s="63">
        <v>46103</v>
      </c>
      <c r="C25" s="64" t="s">
        <v>101</v>
      </c>
      <c r="D25" s="64" t="s">
        <v>1</v>
      </c>
      <c r="E25" s="65">
        <v>40</v>
      </c>
      <c r="F25" s="66" t="b">
        <v>1</v>
      </c>
      <c r="G25" s="62"/>
    </row>
    <row r="26" spans="1:7" ht="13.2">
      <c r="A26" s="62"/>
      <c r="B26" s="67">
        <v>46103</v>
      </c>
      <c r="C26" s="68" t="s">
        <v>102</v>
      </c>
      <c r="D26" s="68" t="s">
        <v>1</v>
      </c>
      <c r="E26" s="69">
        <v>20</v>
      </c>
      <c r="F26" s="70" t="b">
        <v>1</v>
      </c>
      <c r="G26" s="62"/>
    </row>
    <row r="27" spans="1:7" ht="13.2">
      <c r="A27" s="62"/>
      <c r="B27" s="63">
        <v>46103</v>
      </c>
      <c r="C27" s="64" t="s">
        <v>103</v>
      </c>
      <c r="D27" s="64" t="s">
        <v>1</v>
      </c>
      <c r="E27" s="65">
        <v>240</v>
      </c>
      <c r="F27" s="66" t="b">
        <v>1</v>
      </c>
      <c r="G27" s="62"/>
    </row>
    <row r="28" spans="1:7" ht="13.2">
      <c r="A28" s="62"/>
      <c r="B28" s="67">
        <v>46103</v>
      </c>
      <c r="C28" s="68" t="s">
        <v>36</v>
      </c>
      <c r="D28" s="68" t="s">
        <v>1</v>
      </c>
      <c r="E28" s="69">
        <v>200</v>
      </c>
      <c r="F28" s="70" t="b">
        <v>1</v>
      </c>
      <c r="G28" s="62"/>
    </row>
    <row r="29" spans="1:7" ht="13.2">
      <c r="A29" s="62"/>
      <c r="B29" s="63">
        <v>46103</v>
      </c>
      <c r="C29" s="64" t="s">
        <v>104</v>
      </c>
      <c r="D29" s="64" t="s">
        <v>1</v>
      </c>
      <c r="E29" s="65">
        <v>80</v>
      </c>
      <c r="F29" s="66" t="b">
        <v>1</v>
      </c>
      <c r="G29" s="62"/>
    </row>
    <row r="30" spans="1:7" ht="13.2">
      <c r="A30" s="62"/>
      <c r="B30" s="67">
        <v>46103</v>
      </c>
      <c r="C30" s="68" t="s">
        <v>93</v>
      </c>
      <c r="D30" s="68" t="s">
        <v>1</v>
      </c>
      <c r="E30" s="69">
        <v>20</v>
      </c>
      <c r="F30" s="70" t="b">
        <v>1</v>
      </c>
      <c r="G30" s="62"/>
    </row>
    <row r="31" spans="1:7" ht="13.2">
      <c r="A31" s="62"/>
      <c r="B31" s="63">
        <v>46103</v>
      </c>
      <c r="C31" s="64" t="s">
        <v>106</v>
      </c>
      <c r="D31" s="64" t="s">
        <v>1</v>
      </c>
      <c r="E31" s="65">
        <v>40</v>
      </c>
      <c r="F31" s="66" t="b">
        <v>1</v>
      </c>
      <c r="G31" s="62"/>
    </row>
    <row r="32" spans="1:7" ht="13.2">
      <c r="A32" s="62"/>
      <c r="B32" s="67">
        <v>46103</v>
      </c>
      <c r="C32" s="68" t="s">
        <v>57</v>
      </c>
      <c r="D32" s="68" t="s">
        <v>1</v>
      </c>
      <c r="E32" s="69">
        <v>120</v>
      </c>
      <c r="F32" s="70" t="b">
        <v>1</v>
      </c>
      <c r="G32" s="62"/>
    </row>
    <row r="33" spans="1:7" ht="13.2">
      <c r="A33" s="62"/>
      <c r="B33" s="63">
        <v>46103</v>
      </c>
      <c r="C33" s="64" t="s">
        <v>95</v>
      </c>
      <c r="D33" s="64" t="s">
        <v>1</v>
      </c>
      <c r="E33" s="65">
        <v>20</v>
      </c>
      <c r="F33" s="66" t="b">
        <v>1</v>
      </c>
      <c r="G33" s="62"/>
    </row>
    <row r="34" spans="1:7" ht="13.2">
      <c r="A34" s="62"/>
      <c r="B34" s="67">
        <v>46103</v>
      </c>
      <c r="C34" s="68" t="s">
        <v>107</v>
      </c>
      <c r="D34" s="68" t="s">
        <v>1</v>
      </c>
      <c r="E34" s="69">
        <v>60</v>
      </c>
      <c r="F34" s="70" t="b">
        <v>1</v>
      </c>
      <c r="G34" s="62"/>
    </row>
    <row r="35" spans="1:7" ht="13.2">
      <c r="A35" s="62"/>
      <c r="B35" s="63">
        <v>46103</v>
      </c>
      <c r="C35" s="64" t="s">
        <v>108</v>
      </c>
      <c r="D35" s="64" t="s">
        <v>1</v>
      </c>
      <c r="E35" s="65">
        <v>20</v>
      </c>
      <c r="F35" s="66" t="b">
        <v>1</v>
      </c>
      <c r="G35" s="62"/>
    </row>
    <row r="36" spans="1:7" ht="13.2">
      <c r="A36" s="62"/>
      <c r="B36" s="67">
        <v>46103</v>
      </c>
      <c r="C36" s="68" t="s">
        <v>94</v>
      </c>
      <c r="D36" s="68" t="s">
        <v>1</v>
      </c>
      <c r="E36" s="69">
        <v>20</v>
      </c>
      <c r="F36" s="70" t="b">
        <v>1</v>
      </c>
      <c r="G36" s="62"/>
    </row>
    <row r="37" spans="1:7" ht="13.2">
      <c r="A37" s="62"/>
      <c r="B37" s="63">
        <v>46103</v>
      </c>
      <c r="C37" s="64" t="s">
        <v>97</v>
      </c>
      <c r="D37" s="64" t="s">
        <v>1</v>
      </c>
      <c r="E37" s="65">
        <v>20</v>
      </c>
      <c r="F37" s="66" t="b">
        <v>1</v>
      </c>
      <c r="G37" s="62"/>
    </row>
    <row r="38" spans="1:7" ht="13.2">
      <c r="A38" s="62"/>
      <c r="B38" s="67">
        <v>46103</v>
      </c>
      <c r="C38" s="68" t="s">
        <v>61</v>
      </c>
      <c r="D38" s="68" t="s">
        <v>1</v>
      </c>
      <c r="E38" s="69">
        <v>40</v>
      </c>
      <c r="F38" s="70" t="b">
        <v>1</v>
      </c>
      <c r="G38" s="62"/>
    </row>
    <row r="39" spans="1:7" ht="13.2">
      <c r="A39" s="62"/>
      <c r="B39" s="63">
        <v>46103</v>
      </c>
      <c r="C39" s="64" t="s">
        <v>109</v>
      </c>
      <c r="D39" s="64" t="s">
        <v>1</v>
      </c>
      <c r="E39" s="65">
        <v>20</v>
      </c>
      <c r="F39" s="66" t="b">
        <v>1</v>
      </c>
      <c r="G39" s="62"/>
    </row>
    <row r="40" spans="1:7" ht="13.2">
      <c r="A40" s="62"/>
      <c r="B40" s="67">
        <v>46103</v>
      </c>
      <c r="C40" s="68" t="s">
        <v>110</v>
      </c>
      <c r="D40" s="68" t="s">
        <v>1</v>
      </c>
      <c r="E40" s="69">
        <v>20</v>
      </c>
      <c r="F40" s="70" t="b">
        <v>1</v>
      </c>
      <c r="G40" s="62"/>
    </row>
    <row r="41" spans="1:7" ht="13.2">
      <c r="A41" s="62"/>
      <c r="B41" s="63">
        <v>46103</v>
      </c>
      <c r="C41" s="64" t="s">
        <v>111</v>
      </c>
      <c r="D41" s="64" t="s">
        <v>1</v>
      </c>
      <c r="E41" s="65">
        <v>20</v>
      </c>
      <c r="F41" s="66" t="b">
        <v>1</v>
      </c>
      <c r="G41" s="62"/>
    </row>
    <row r="42" spans="1:7" ht="13.2">
      <c r="A42" s="62"/>
      <c r="B42" s="67">
        <v>46103</v>
      </c>
      <c r="C42" s="68" t="s">
        <v>112</v>
      </c>
      <c r="D42" s="68" t="s">
        <v>1</v>
      </c>
      <c r="E42" s="69">
        <v>20</v>
      </c>
      <c r="F42" s="70" t="b">
        <v>1</v>
      </c>
      <c r="G42" s="62"/>
    </row>
    <row r="43" spans="1:7" ht="13.2">
      <c r="A43" s="62"/>
      <c r="B43" s="63">
        <v>46103</v>
      </c>
      <c r="C43" s="64" t="s">
        <v>48</v>
      </c>
      <c r="D43" s="64" t="s">
        <v>1</v>
      </c>
      <c r="E43" s="65">
        <v>20</v>
      </c>
      <c r="F43" s="66" t="b">
        <v>1</v>
      </c>
      <c r="G43" s="62"/>
    </row>
    <row r="44" spans="1:7" ht="13.2">
      <c r="A44" s="62"/>
      <c r="B44" s="67">
        <v>46103</v>
      </c>
      <c r="C44" s="68" t="s">
        <v>60</v>
      </c>
      <c r="D44" s="68" t="s">
        <v>1</v>
      </c>
      <c r="E44" s="69">
        <v>20</v>
      </c>
      <c r="F44" s="70" t="b">
        <v>1</v>
      </c>
      <c r="G44" s="62"/>
    </row>
    <row r="45" spans="1:7" ht="13.2">
      <c r="A45" s="62"/>
      <c r="B45" s="63">
        <v>46103</v>
      </c>
      <c r="C45" s="64" t="s">
        <v>97</v>
      </c>
      <c r="D45" s="64" t="s">
        <v>1</v>
      </c>
      <c r="E45" s="65">
        <v>20</v>
      </c>
      <c r="F45" s="66" t="b">
        <v>1</v>
      </c>
      <c r="G45" s="62"/>
    </row>
    <row r="46" spans="1:7" ht="13.2">
      <c r="A46" s="62"/>
      <c r="B46" s="67">
        <v>46103</v>
      </c>
      <c r="C46" s="68" t="s">
        <v>83</v>
      </c>
      <c r="D46" s="68" t="s">
        <v>2</v>
      </c>
      <c r="E46" s="69">
        <v>40</v>
      </c>
      <c r="F46" s="70" t="b">
        <v>1</v>
      </c>
      <c r="G46" s="62"/>
    </row>
    <row r="47" spans="1:7" ht="13.2">
      <c r="A47" s="62"/>
      <c r="B47" s="63">
        <v>46103</v>
      </c>
      <c r="C47" s="64" t="s">
        <v>100</v>
      </c>
      <c r="D47" s="64" t="s">
        <v>2</v>
      </c>
      <c r="E47" s="65">
        <v>20</v>
      </c>
      <c r="F47" s="66" t="b">
        <v>1</v>
      </c>
      <c r="G47" s="62"/>
    </row>
    <row r="48" spans="1:7" ht="13.2">
      <c r="A48" s="62"/>
      <c r="B48" s="67">
        <v>46103</v>
      </c>
      <c r="C48" s="68" t="s">
        <v>60</v>
      </c>
      <c r="D48" s="68" t="s">
        <v>2</v>
      </c>
      <c r="E48" s="69">
        <v>20</v>
      </c>
      <c r="F48" s="70" t="b">
        <v>1</v>
      </c>
      <c r="G48" s="62"/>
    </row>
    <row r="49" spans="1:7" ht="13.2">
      <c r="A49" s="62"/>
      <c r="B49" s="63">
        <v>46103</v>
      </c>
      <c r="C49" s="64" t="s">
        <v>91</v>
      </c>
      <c r="D49" s="64" t="s">
        <v>2</v>
      </c>
      <c r="E49" s="65">
        <v>20</v>
      </c>
      <c r="F49" s="66" t="b">
        <v>1</v>
      </c>
      <c r="G49" s="62"/>
    </row>
    <row r="50" spans="1:7" ht="13.2">
      <c r="A50" s="62"/>
      <c r="B50" s="67">
        <v>46103</v>
      </c>
      <c r="C50" s="68" t="s">
        <v>88</v>
      </c>
      <c r="D50" s="68" t="s">
        <v>2</v>
      </c>
      <c r="E50" s="69">
        <v>20</v>
      </c>
      <c r="F50" s="70" t="b">
        <v>1</v>
      </c>
      <c r="G50" s="62"/>
    </row>
    <row r="51" spans="1:7" ht="13.2">
      <c r="A51" s="62"/>
      <c r="B51" s="63">
        <v>46103</v>
      </c>
      <c r="C51" s="64" t="s">
        <v>113</v>
      </c>
      <c r="D51" s="64" t="s">
        <v>2</v>
      </c>
      <c r="E51" s="65">
        <v>20</v>
      </c>
      <c r="F51" s="66" t="b">
        <v>1</v>
      </c>
      <c r="G51" s="62"/>
    </row>
    <row r="52" spans="1:7" ht="13.2">
      <c r="A52" s="62"/>
      <c r="B52" s="67">
        <v>46103</v>
      </c>
      <c r="C52" s="68" t="s">
        <v>89</v>
      </c>
      <c r="D52" s="68" t="s">
        <v>2</v>
      </c>
      <c r="E52" s="69">
        <v>20</v>
      </c>
      <c r="F52" s="70" t="b">
        <v>1</v>
      </c>
      <c r="G52" s="62"/>
    </row>
    <row r="53" spans="1:7" ht="13.2">
      <c r="A53" s="62"/>
      <c r="B53" s="63">
        <v>46103</v>
      </c>
      <c r="C53" s="64" t="s">
        <v>114</v>
      </c>
      <c r="D53" s="64" t="s">
        <v>2</v>
      </c>
      <c r="E53" s="65">
        <v>40</v>
      </c>
      <c r="F53" s="66" t="b">
        <v>1</v>
      </c>
      <c r="G53" s="62"/>
    </row>
    <row r="54" spans="1:7" ht="13.2">
      <c r="A54" s="62"/>
      <c r="B54" s="67">
        <v>46103</v>
      </c>
      <c r="C54" s="68" t="s">
        <v>109</v>
      </c>
      <c r="D54" s="68" t="s">
        <v>2</v>
      </c>
      <c r="E54" s="69">
        <v>40</v>
      </c>
      <c r="F54" s="70" t="b">
        <v>1</v>
      </c>
      <c r="G54" s="62"/>
    </row>
    <row r="55" spans="1:7" ht="13.2">
      <c r="A55" s="62"/>
      <c r="B55" s="63">
        <v>46103</v>
      </c>
      <c r="C55" s="64" t="s">
        <v>115</v>
      </c>
      <c r="D55" s="64" t="s">
        <v>2</v>
      </c>
      <c r="E55" s="65">
        <v>20</v>
      </c>
      <c r="F55" s="66" t="b">
        <v>1</v>
      </c>
      <c r="G55" s="62"/>
    </row>
    <row r="56" spans="1:7" ht="13.2">
      <c r="A56" s="62"/>
      <c r="B56" s="67">
        <v>46103</v>
      </c>
      <c r="C56" s="68" t="s">
        <v>29</v>
      </c>
      <c r="D56" s="68" t="s">
        <v>2</v>
      </c>
      <c r="E56" s="69">
        <v>20</v>
      </c>
      <c r="F56" s="70" t="b">
        <v>1</v>
      </c>
      <c r="G56" s="62"/>
    </row>
    <row r="57" spans="1:7" ht="13.2">
      <c r="A57" s="62"/>
      <c r="B57" s="63">
        <v>46103</v>
      </c>
      <c r="C57" s="64" t="s">
        <v>87</v>
      </c>
      <c r="D57" s="64" t="s">
        <v>2</v>
      </c>
      <c r="E57" s="65">
        <v>20</v>
      </c>
      <c r="F57" s="66" t="b">
        <v>1</v>
      </c>
      <c r="G57" s="62"/>
    </row>
    <row r="58" spans="1:7" ht="13.2">
      <c r="A58" s="62"/>
      <c r="B58" s="67">
        <v>46103</v>
      </c>
      <c r="C58" s="68" t="s">
        <v>101</v>
      </c>
      <c r="D58" s="68" t="s">
        <v>2</v>
      </c>
      <c r="E58" s="69">
        <v>20</v>
      </c>
      <c r="F58" s="70" t="b">
        <v>1</v>
      </c>
      <c r="G58" s="62"/>
    </row>
    <row r="59" spans="1:7" ht="13.2">
      <c r="A59" s="62"/>
      <c r="B59" s="63">
        <v>46103</v>
      </c>
      <c r="C59" s="64" t="s">
        <v>16</v>
      </c>
      <c r="D59" s="64" t="s">
        <v>2</v>
      </c>
      <c r="E59" s="65">
        <v>20</v>
      </c>
      <c r="F59" s="66" t="b">
        <v>1</v>
      </c>
      <c r="G59" s="62"/>
    </row>
    <row r="60" spans="1:7" ht="13.2">
      <c r="A60" s="62"/>
      <c r="B60" s="67">
        <v>46103</v>
      </c>
      <c r="C60" s="68" t="s">
        <v>106</v>
      </c>
      <c r="D60" s="68" t="s">
        <v>2</v>
      </c>
      <c r="E60" s="69">
        <v>20</v>
      </c>
      <c r="F60" s="70" t="b">
        <v>1</v>
      </c>
      <c r="G60" s="62"/>
    </row>
    <row r="61" spans="1:7" ht="13.2">
      <c r="A61" s="62"/>
      <c r="B61" s="63">
        <v>46103</v>
      </c>
      <c r="C61" s="64" t="s">
        <v>111</v>
      </c>
      <c r="D61" s="64" t="s">
        <v>2</v>
      </c>
      <c r="E61" s="65">
        <v>20</v>
      </c>
      <c r="F61" s="66" t="b">
        <v>1</v>
      </c>
      <c r="G61" s="62"/>
    </row>
    <row r="62" spans="1:7" ht="13.2">
      <c r="A62" s="62"/>
      <c r="B62" s="67">
        <v>46103</v>
      </c>
      <c r="C62" s="68" t="s">
        <v>112</v>
      </c>
      <c r="D62" s="68" t="s">
        <v>2</v>
      </c>
      <c r="E62" s="69">
        <v>20</v>
      </c>
      <c r="F62" s="70" t="b">
        <v>1</v>
      </c>
      <c r="G62" s="62"/>
    </row>
    <row r="63" spans="1:7" ht="13.2">
      <c r="A63" s="62"/>
      <c r="B63" s="63">
        <v>46103</v>
      </c>
      <c r="C63" s="64" t="s">
        <v>93</v>
      </c>
      <c r="D63" s="64" t="s">
        <v>2</v>
      </c>
      <c r="E63" s="65">
        <v>20</v>
      </c>
      <c r="F63" s="66" t="b">
        <v>1</v>
      </c>
      <c r="G63" s="62"/>
    </row>
    <row r="64" spans="1:7" ht="13.2">
      <c r="A64" s="62"/>
      <c r="B64" s="67">
        <v>46103</v>
      </c>
      <c r="C64" s="68" t="s">
        <v>56</v>
      </c>
      <c r="D64" s="68" t="s">
        <v>2</v>
      </c>
      <c r="E64" s="69">
        <v>60</v>
      </c>
      <c r="F64" s="70" t="b">
        <v>1</v>
      </c>
      <c r="G64" s="62"/>
    </row>
    <row r="65" spans="1:7" ht="13.2">
      <c r="A65" s="62"/>
      <c r="B65" s="63">
        <v>46103</v>
      </c>
      <c r="C65" s="64" t="s">
        <v>116</v>
      </c>
      <c r="D65" s="64" t="s">
        <v>2</v>
      </c>
      <c r="E65" s="65">
        <v>20</v>
      </c>
      <c r="F65" s="66" t="b">
        <v>1</v>
      </c>
      <c r="G65" s="62"/>
    </row>
    <row r="66" spans="1:7" ht="13.2">
      <c r="A66" s="62"/>
      <c r="B66" s="67">
        <v>46103</v>
      </c>
      <c r="C66" s="68" t="s">
        <v>117</v>
      </c>
      <c r="D66" s="68" t="s">
        <v>2</v>
      </c>
      <c r="E66" s="69">
        <v>20</v>
      </c>
      <c r="F66" s="70" t="b">
        <v>1</v>
      </c>
      <c r="G66" s="62"/>
    </row>
    <row r="67" spans="1:7" ht="13.2">
      <c r="A67" s="62"/>
      <c r="B67" s="63">
        <v>46103</v>
      </c>
      <c r="C67" s="64" t="s">
        <v>118</v>
      </c>
      <c r="D67" s="64" t="s">
        <v>2</v>
      </c>
      <c r="E67" s="65">
        <v>100</v>
      </c>
      <c r="F67" s="66" t="b">
        <v>1</v>
      </c>
      <c r="G67" s="62"/>
    </row>
    <row r="68" spans="1:7" ht="13.2">
      <c r="A68" s="62"/>
      <c r="B68" s="67">
        <v>46103</v>
      </c>
      <c r="C68" s="68" t="s">
        <v>119</v>
      </c>
      <c r="D68" s="68" t="s">
        <v>2</v>
      </c>
      <c r="E68" s="69">
        <v>20</v>
      </c>
      <c r="F68" s="70" t="b">
        <v>1</v>
      </c>
      <c r="G68" s="62"/>
    </row>
    <row r="69" spans="1:7" ht="13.2">
      <c r="A69" s="62"/>
      <c r="B69" s="63">
        <v>46103</v>
      </c>
      <c r="C69" s="64" t="s">
        <v>94</v>
      </c>
      <c r="D69" s="64" t="s">
        <v>2</v>
      </c>
      <c r="E69" s="65">
        <v>20</v>
      </c>
      <c r="F69" s="66" t="b">
        <v>1</v>
      </c>
      <c r="G69" s="62"/>
    </row>
    <row r="70" spans="1:7" ht="13.2">
      <c r="A70" s="62"/>
      <c r="B70" s="67">
        <v>46103</v>
      </c>
      <c r="C70" s="68" t="s">
        <v>61</v>
      </c>
      <c r="D70" s="68" t="s">
        <v>2</v>
      </c>
      <c r="E70" s="69">
        <v>20</v>
      </c>
      <c r="F70" s="70" t="b">
        <v>1</v>
      </c>
      <c r="G70" s="62"/>
    </row>
    <row r="71" spans="1:7" ht="13.2">
      <c r="A71" s="62"/>
      <c r="B71" s="63">
        <v>46103</v>
      </c>
      <c r="C71" s="64" t="s">
        <v>97</v>
      </c>
      <c r="D71" s="64" t="s">
        <v>2</v>
      </c>
      <c r="E71" s="65">
        <v>20</v>
      </c>
      <c r="F71" s="66" t="b">
        <v>1</v>
      </c>
      <c r="G71" s="62"/>
    </row>
    <row r="72" spans="1:7" ht="13.2">
      <c r="A72" s="62"/>
      <c r="B72" s="67">
        <v>46103</v>
      </c>
      <c r="C72" s="68" t="s">
        <v>102</v>
      </c>
      <c r="D72" s="68" t="s">
        <v>2</v>
      </c>
      <c r="E72" s="69">
        <v>20</v>
      </c>
      <c r="F72" s="70" t="b">
        <v>1</v>
      </c>
      <c r="G72" s="62"/>
    </row>
    <row r="73" spans="1:7" ht="13.2">
      <c r="A73" s="62"/>
      <c r="B73" s="63">
        <v>46103</v>
      </c>
      <c r="C73" s="64" t="s">
        <v>48</v>
      </c>
      <c r="D73" s="64" t="s">
        <v>2</v>
      </c>
      <c r="E73" s="65">
        <v>20</v>
      </c>
      <c r="F73" s="66" t="b">
        <v>1</v>
      </c>
      <c r="G73" s="62"/>
    </row>
    <row r="74" spans="1:7" ht="13.2">
      <c r="A74" s="62"/>
      <c r="B74" s="67">
        <v>46103</v>
      </c>
      <c r="C74" s="68" t="s">
        <v>95</v>
      </c>
      <c r="D74" s="68" t="s">
        <v>2</v>
      </c>
      <c r="E74" s="69">
        <v>20</v>
      </c>
      <c r="F74" s="70" t="b">
        <v>1</v>
      </c>
      <c r="G74" s="62"/>
    </row>
    <row r="75" spans="1:7" ht="13.2">
      <c r="A75" s="62"/>
      <c r="B75" s="63">
        <v>46103</v>
      </c>
      <c r="C75" s="64" t="s">
        <v>110</v>
      </c>
      <c r="D75" s="64" t="s">
        <v>2</v>
      </c>
      <c r="E75" s="65">
        <v>20</v>
      </c>
      <c r="F75" s="66" t="b">
        <v>1</v>
      </c>
      <c r="G75" s="62"/>
    </row>
    <row r="76" spans="1:7" ht="13.2">
      <c r="A76" s="62"/>
      <c r="B76" s="67">
        <v>46103</v>
      </c>
      <c r="C76" s="68" t="s">
        <v>108</v>
      </c>
      <c r="D76" s="68" t="s">
        <v>2</v>
      </c>
      <c r="E76" s="69">
        <v>20</v>
      </c>
      <c r="F76" s="70" t="b">
        <v>1</v>
      </c>
      <c r="G76" s="62"/>
    </row>
    <row r="77" spans="1:7" ht="13.2">
      <c r="A77" s="62"/>
      <c r="B77" s="63">
        <v>46103</v>
      </c>
      <c r="C77" s="64" t="s">
        <v>120</v>
      </c>
      <c r="D77" s="64" t="s">
        <v>2</v>
      </c>
      <c r="E77" s="65">
        <v>100</v>
      </c>
      <c r="F77" s="66" t="b">
        <v>1</v>
      </c>
      <c r="G77" s="62"/>
    </row>
    <row r="78" spans="1:7" ht="13.2">
      <c r="A78" s="62"/>
      <c r="B78" s="67">
        <v>46103</v>
      </c>
      <c r="C78" s="68" t="s">
        <v>96</v>
      </c>
      <c r="D78" s="68" t="s">
        <v>2</v>
      </c>
      <c r="E78" s="69">
        <v>40</v>
      </c>
      <c r="F78" s="70" t="b">
        <v>1</v>
      </c>
      <c r="G78" s="62"/>
    </row>
    <row r="79" spans="1:7" ht="13.2">
      <c r="A79" s="62"/>
      <c r="B79" s="63">
        <v>46111</v>
      </c>
      <c r="C79" s="64" t="s">
        <v>121</v>
      </c>
      <c r="D79" s="64" t="s">
        <v>2</v>
      </c>
      <c r="E79" s="65">
        <v>60</v>
      </c>
      <c r="F79" s="66" t="b">
        <v>1</v>
      </c>
      <c r="G79" s="62"/>
    </row>
    <row r="80" spans="1:7" ht="13.2">
      <c r="A80" s="62"/>
      <c r="B80" s="67">
        <v>46111</v>
      </c>
      <c r="C80" s="68" t="s">
        <v>102</v>
      </c>
      <c r="D80" s="68" t="s">
        <v>2</v>
      </c>
      <c r="E80" s="69">
        <v>20</v>
      </c>
      <c r="F80" s="70" t="b">
        <v>1</v>
      </c>
      <c r="G80" s="62"/>
    </row>
    <row r="81" spans="1:7" ht="13.2">
      <c r="A81" s="62"/>
      <c r="B81" s="63">
        <v>46111</v>
      </c>
      <c r="C81" s="64" t="s">
        <v>122</v>
      </c>
      <c r="D81" s="64" t="s">
        <v>2</v>
      </c>
      <c r="E81" s="65">
        <v>100</v>
      </c>
      <c r="F81" s="66" t="b">
        <v>1</v>
      </c>
      <c r="G81" s="62"/>
    </row>
    <row r="82" spans="1:7" ht="13.2">
      <c r="A82" s="62"/>
      <c r="B82" s="67">
        <v>46111</v>
      </c>
      <c r="C82" s="68" t="s">
        <v>113</v>
      </c>
      <c r="D82" s="68" t="s">
        <v>2</v>
      </c>
      <c r="E82" s="69">
        <v>20</v>
      </c>
      <c r="F82" s="70" t="b">
        <v>1</v>
      </c>
      <c r="G82" s="62"/>
    </row>
    <row r="83" spans="1:7" ht="13.2">
      <c r="A83" s="62"/>
      <c r="B83" s="63">
        <v>46111</v>
      </c>
      <c r="C83" s="64" t="s">
        <v>17</v>
      </c>
      <c r="D83" s="64" t="s">
        <v>2</v>
      </c>
      <c r="E83" s="65">
        <v>40</v>
      </c>
      <c r="F83" s="66" t="b">
        <v>1</v>
      </c>
      <c r="G83" s="62"/>
    </row>
    <row r="84" spans="1:7" ht="13.2">
      <c r="A84" s="62"/>
      <c r="B84" s="67">
        <v>46111</v>
      </c>
      <c r="C84" s="68" t="s">
        <v>17</v>
      </c>
      <c r="D84" s="68" t="s">
        <v>2</v>
      </c>
      <c r="E84" s="69">
        <v>20</v>
      </c>
      <c r="F84" s="70" t="b">
        <v>1</v>
      </c>
      <c r="G84" s="62"/>
    </row>
    <row r="85" spans="1:7" ht="13.2">
      <c r="A85" s="62"/>
      <c r="B85" s="63">
        <v>46111</v>
      </c>
      <c r="C85" s="64" t="s">
        <v>105</v>
      </c>
      <c r="D85" s="64" t="s">
        <v>2</v>
      </c>
      <c r="E85" s="65">
        <v>100</v>
      </c>
      <c r="F85" s="66" t="b">
        <v>1</v>
      </c>
      <c r="G85" s="62"/>
    </row>
    <row r="86" spans="1:7" ht="13.2">
      <c r="A86" s="62"/>
      <c r="B86" s="67">
        <v>46111</v>
      </c>
      <c r="C86" s="68" t="s">
        <v>51</v>
      </c>
      <c r="D86" s="68" t="s">
        <v>2</v>
      </c>
      <c r="E86" s="69">
        <v>20</v>
      </c>
      <c r="F86" s="70" t="b">
        <v>1</v>
      </c>
      <c r="G86" s="62"/>
    </row>
    <row r="87" spans="1:7" ht="13.2">
      <c r="A87" s="62"/>
      <c r="B87" s="63">
        <v>46111</v>
      </c>
      <c r="C87" s="64" t="s">
        <v>123</v>
      </c>
      <c r="D87" s="64" t="s">
        <v>2</v>
      </c>
      <c r="E87" s="65">
        <v>60</v>
      </c>
      <c r="F87" s="66" t="b">
        <v>1</v>
      </c>
      <c r="G87" s="62"/>
    </row>
    <row r="88" spans="1:7" ht="13.2">
      <c r="A88" s="62"/>
      <c r="B88" s="67">
        <v>46111</v>
      </c>
      <c r="C88" s="68" t="s">
        <v>98</v>
      </c>
      <c r="D88" s="68" t="s">
        <v>2</v>
      </c>
      <c r="E88" s="69">
        <v>20</v>
      </c>
      <c r="F88" s="70" t="b">
        <v>1</v>
      </c>
      <c r="G88" s="62"/>
    </row>
    <row r="89" spans="1:7" ht="13.2">
      <c r="A89" s="62"/>
      <c r="B89" s="63">
        <v>46111</v>
      </c>
      <c r="C89" s="64" t="s">
        <v>124</v>
      </c>
      <c r="D89" s="64" t="s">
        <v>2</v>
      </c>
      <c r="E89" s="65">
        <v>100</v>
      </c>
      <c r="F89" s="66" t="b">
        <v>1</v>
      </c>
      <c r="G89" s="62"/>
    </row>
    <row r="90" spans="1:7" ht="13.2">
      <c r="A90" s="62"/>
      <c r="B90" s="67">
        <v>46111</v>
      </c>
      <c r="C90" s="68" t="s">
        <v>115</v>
      </c>
      <c r="D90" s="68" t="s">
        <v>2</v>
      </c>
      <c r="E90" s="69">
        <v>20</v>
      </c>
      <c r="F90" s="70" t="b">
        <v>1</v>
      </c>
      <c r="G90" s="62"/>
    </row>
    <row r="91" spans="1:7" ht="13.2">
      <c r="A91" s="62"/>
      <c r="B91" s="63">
        <v>46111</v>
      </c>
      <c r="C91" s="64" t="s">
        <v>125</v>
      </c>
      <c r="D91" s="64" t="s">
        <v>2</v>
      </c>
      <c r="E91" s="65">
        <v>100</v>
      </c>
      <c r="F91" s="66" t="b">
        <v>1</v>
      </c>
      <c r="G91" s="62"/>
    </row>
    <row r="92" spans="1:7" ht="13.2">
      <c r="A92" s="62"/>
      <c r="B92" s="67">
        <v>46111</v>
      </c>
      <c r="C92" s="68" t="s">
        <v>53</v>
      </c>
      <c r="D92" s="68" t="s">
        <v>2</v>
      </c>
      <c r="E92" s="69">
        <v>60</v>
      </c>
      <c r="F92" s="70" t="b">
        <v>1</v>
      </c>
      <c r="G92" s="62"/>
    </row>
    <row r="93" spans="1:7" ht="13.2">
      <c r="A93" s="62"/>
      <c r="B93" s="63">
        <v>46111</v>
      </c>
      <c r="C93" s="64" t="s">
        <v>43</v>
      </c>
      <c r="D93" s="64" t="s">
        <v>2</v>
      </c>
      <c r="E93" s="65">
        <v>100</v>
      </c>
      <c r="F93" s="66" t="b">
        <v>1</v>
      </c>
      <c r="G93" s="62"/>
    </row>
    <row r="94" spans="1:7" ht="13.2">
      <c r="A94" s="62"/>
      <c r="B94" s="67">
        <v>46111</v>
      </c>
      <c r="C94" s="68" t="s">
        <v>126</v>
      </c>
      <c r="D94" s="68" t="s">
        <v>2</v>
      </c>
      <c r="E94" s="69">
        <v>100</v>
      </c>
      <c r="F94" s="70" t="b">
        <v>1</v>
      </c>
      <c r="G94" s="62"/>
    </row>
    <row r="95" spans="1:7" ht="18.75" customHeight="1">
      <c r="A95" s="62"/>
      <c r="B95" s="63">
        <v>46111</v>
      </c>
      <c r="C95" s="64" t="s">
        <v>127</v>
      </c>
      <c r="D95" s="64" t="s">
        <v>2</v>
      </c>
      <c r="E95" s="65">
        <v>100</v>
      </c>
      <c r="F95" s="66" t="b">
        <v>1</v>
      </c>
      <c r="G95" s="62"/>
    </row>
    <row r="96" spans="1:7" ht="13.2">
      <c r="A96" s="62"/>
      <c r="B96" s="67">
        <v>46111</v>
      </c>
      <c r="C96" s="68" t="s">
        <v>99</v>
      </c>
      <c r="D96" s="68" t="s">
        <v>2</v>
      </c>
      <c r="E96" s="69">
        <v>60</v>
      </c>
      <c r="F96" s="70" t="b">
        <v>1</v>
      </c>
      <c r="G96" s="62"/>
    </row>
    <row r="97" spans="1:7" ht="13.2">
      <c r="A97" s="62"/>
      <c r="B97" s="63">
        <v>46111</v>
      </c>
      <c r="C97" s="64" t="s">
        <v>89</v>
      </c>
      <c r="D97" s="64" t="s">
        <v>2</v>
      </c>
      <c r="E97" s="65">
        <v>20</v>
      </c>
      <c r="F97" s="66" t="b">
        <v>1</v>
      </c>
      <c r="G97" s="62"/>
    </row>
    <row r="98" spans="1:7" ht="13.2">
      <c r="A98" s="62"/>
      <c r="B98" s="67">
        <v>46111</v>
      </c>
      <c r="C98" s="68" t="s">
        <v>40</v>
      </c>
      <c r="D98" s="68" t="s">
        <v>2</v>
      </c>
      <c r="E98" s="69">
        <v>120</v>
      </c>
      <c r="F98" s="70" t="b">
        <v>1</v>
      </c>
      <c r="G98" s="62"/>
    </row>
    <row r="99" spans="1:7" ht="13.2">
      <c r="A99" s="62"/>
      <c r="B99" s="63">
        <v>46111</v>
      </c>
      <c r="C99" s="64" t="s">
        <v>97</v>
      </c>
      <c r="D99" s="64" t="s">
        <v>2</v>
      </c>
      <c r="E99" s="65">
        <v>20</v>
      </c>
      <c r="F99" s="66" t="b">
        <v>1</v>
      </c>
      <c r="G99" s="62"/>
    </row>
    <row r="100" spans="1:7" ht="13.2">
      <c r="A100" s="62"/>
      <c r="B100" s="67">
        <v>46111</v>
      </c>
      <c r="C100" s="68" t="s">
        <v>128</v>
      </c>
      <c r="D100" s="68" t="s">
        <v>2</v>
      </c>
      <c r="E100" s="69">
        <v>80</v>
      </c>
      <c r="F100" s="70" t="b">
        <v>1</v>
      </c>
      <c r="G100" s="62"/>
    </row>
    <row r="101" spans="1:7" ht="13.2">
      <c r="A101" s="62"/>
      <c r="B101" s="63">
        <v>46142</v>
      </c>
      <c r="C101" s="64" t="s">
        <v>17</v>
      </c>
      <c r="D101" s="64" t="s">
        <v>3</v>
      </c>
      <c r="E101" s="65">
        <v>20</v>
      </c>
      <c r="F101" s="66" t="b">
        <v>1</v>
      </c>
      <c r="G101" s="62"/>
    </row>
    <row r="102" spans="1:7" ht="13.2">
      <c r="A102" s="62"/>
      <c r="B102" s="67">
        <v>46142</v>
      </c>
      <c r="C102" s="68" t="s">
        <v>115</v>
      </c>
      <c r="D102" s="68" t="s">
        <v>3</v>
      </c>
      <c r="E102" s="69">
        <v>20</v>
      </c>
      <c r="F102" s="70" t="b">
        <v>1</v>
      </c>
      <c r="G102" s="62"/>
    </row>
    <row r="103" spans="1:7" ht="13.2">
      <c r="A103" s="62"/>
      <c r="B103" s="63">
        <v>46142</v>
      </c>
      <c r="C103" s="64" t="s">
        <v>88</v>
      </c>
      <c r="D103" s="64" t="s">
        <v>3</v>
      </c>
      <c r="E103" s="65">
        <v>20</v>
      </c>
      <c r="F103" s="66" t="b">
        <v>1</v>
      </c>
      <c r="G103" s="62"/>
    </row>
    <row r="104" spans="1:7" ht="13.2">
      <c r="A104" s="62"/>
      <c r="B104" s="67">
        <v>46142</v>
      </c>
      <c r="C104" s="68" t="s">
        <v>93</v>
      </c>
      <c r="D104" s="68" t="s">
        <v>3</v>
      </c>
      <c r="E104" s="69">
        <v>40</v>
      </c>
      <c r="F104" s="70" t="b">
        <v>1</v>
      </c>
      <c r="G104" s="62"/>
    </row>
    <row r="105" spans="1:7" ht="13.2">
      <c r="A105" s="62"/>
      <c r="B105" s="63">
        <v>46142</v>
      </c>
      <c r="C105" s="64" t="s">
        <v>92</v>
      </c>
      <c r="D105" s="64" t="s">
        <v>3</v>
      </c>
      <c r="E105" s="65">
        <v>60</v>
      </c>
      <c r="F105" s="66" t="b">
        <v>1</v>
      </c>
      <c r="G105" s="62"/>
    </row>
    <row r="106" spans="1:7" ht="13.2">
      <c r="A106" s="62"/>
      <c r="B106" s="67">
        <v>46142</v>
      </c>
      <c r="C106" s="68" t="s">
        <v>29</v>
      </c>
      <c r="D106" s="68" t="s">
        <v>3</v>
      </c>
      <c r="E106" s="69">
        <v>20</v>
      </c>
      <c r="F106" s="70" t="b">
        <v>1</v>
      </c>
      <c r="G106" s="62"/>
    </row>
    <row r="107" spans="1:7" ht="13.2">
      <c r="A107" s="62"/>
      <c r="B107" s="63">
        <v>46142</v>
      </c>
      <c r="C107" s="64" t="s">
        <v>87</v>
      </c>
      <c r="D107" s="64" t="s">
        <v>3</v>
      </c>
      <c r="E107" s="65">
        <v>20</v>
      </c>
      <c r="F107" s="66" t="b">
        <v>1</v>
      </c>
      <c r="G107" s="62"/>
    </row>
    <row r="108" spans="1:7" ht="13.2">
      <c r="A108" s="62"/>
      <c r="B108" s="67">
        <v>46142</v>
      </c>
      <c r="C108" s="68" t="s">
        <v>91</v>
      </c>
      <c r="D108" s="68" t="s">
        <v>3</v>
      </c>
      <c r="E108" s="69">
        <v>20</v>
      </c>
      <c r="F108" s="70" t="b">
        <v>1</v>
      </c>
      <c r="G108" s="62"/>
    </row>
    <row r="109" spans="1:7" ht="13.2">
      <c r="A109" s="62"/>
      <c r="B109" s="63">
        <v>46142</v>
      </c>
      <c r="C109" s="64" t="s">
        <v>72</v>
      </c>
      <c r="D109" s="64" t="s">
        <v>3</v>
      </c>
      <c r="E109" s="65">
        <v>100</v>
      </c>
      <c r="F109" s="66" t="b">
        <v>1</v>
      </c>
      <c r="G109" s="62"/>
    </row>
    <row r="110" spans="1:7" ht="13.2">
      <c r="A110" s="62"/>
      <c r="B110" s="67">
        <v>46142</v>
      </c>
      <c r="C110" s="68" t="s">
        <v>101</v>
      </c>
      <c r="D110" s="68" t="s">
        <v>3</v>
      </c>
      <c r="E110" s="69">
        <v>20</v>
      </c>
      <c r="F110" s="70" t="b">
        <v>1</v>
      </c>
      <c r="G110" s="62"/>
    </row>
    <row r="111" spans="1:7" ht="13.2">
      <c r="A111" s="62"/>
      <c r="B111" s="63">
        <v>46142</v>
      </c>
      <c r="C111" s="64" t="s">
        <v>16</v>
      </c>
      <c r="D111" s="64" t="s">
        <v>3</v>
      </c>
      <c r="E111" s="65">
        <v>20</v>
      </c>
      <c r="F111" s="66" t="b">
        <v>1</v>
      </c>
      <c r="G111" s="62"/>
    </row>
    <row r="112" spans="1:7" ht="13.2">
      <c r="A112" s="62"/>
      <c r="B112" s="67">
        <v>46142</v>
      </c>
      <c r="C112" s="68" t="s">
        <v>99</v>
      </c>
      <c r="D112" s="68" t="s">
        <v>3</v>
      </c>
      <c r="E112" s="69">
        <v>60</v>
      </c>
      <c r="F112" s="70" t="b">
        <v>1</v>
      </c>
      <c r="G112" s="62"/>
    </row>
    <row r="113" spans="1:7" ht="13.2">
      <c r="A113" s="62"/>
      <c r="B113" s="63">
        <v>46142</v>
      </c>
      <c r="C113" s="64" t="s">
        <v>116</v>
      </c>
      <c r="D113" s="64" t="s">
        <v>3</v>
      </c>
      <c r="E113" s="65">
        <v>40</v>
      </c>
      <c r="F113" s="66" t="b">
        <v>1</v>
      </c>
      <c r="G113" s="62"/>
    </row>
    <row r="114" spans="1:7" ht="13.2">
      <c r="A114" s="62"/>
      <c r="B114" s="67">
        <v>46142</v>
      </c>
      <c r="C114" s="68" t="s">
        <v>94</v>
      </c>
      <c r="D114" s="68" t="s">
        <v>3</v>
      </c>
      <c r="E114" s="69">
        <v>20</v>
      </c>
      <c r="F114" s="70" t="b">
        <v>1</v>
      </c>
      <c r="G114" s="62"/>
    </row>
    <row r="115" spans="1:7" ht="13.2">
      <c r="A115" s="62"/>
      <c r="B115" s="63">
        <v>46142</v>
      </c>
      <c r="C115" s="64" t="s">
        <v>48</v>
      </c>
      <c r="D115" s="64" t="s">
        <v>3</v>
      </c>
      <c r="E115" s="65">
        <v>20</v>
      </c>
      <c r="F115" s="66" t="b">
        <v>1</v>
      </c>
      <c r="G115" s="62"/>
    </row>
    <row r="116" spans="1:7" ht="13.2">
      <c r="A116" s="62"/>
      <c r="B116" s="67">
        <v>46142</v>
      </c>
      <c r="C116" s="68" t="s">
        <v>56</v>
      </c>
      <c r="D116" s="68" t="s">
        <v>3</v>
      </c>
      <c r="E116" s="69">
        <v>20</v>
      </c>
      <c r="F116" s="70" t="b">
        <v>1</v>
      </c>
      <c r="G116" s="62"/>
    </row>
    <row r="117" spans="1:7" ht="13.2">
      <c r="A117" s="62"/>
      <c r="B117" s="63">
        <v>46142</v>
      </c>
      <c r="C117" s="64" t="s">
        <v>111</v>
      </c>
      <c r="D117" s="64" t="s">
        <v>3</v>
      </c>
      <c r="E117" s="65">
        <v>20</v>
      </c>
      <c r="F117" s="66" t="b">
        <v>1</v>
      </c>
      <c r="G117" s="62"/>
    </row>
    <row r="118" spans="1:7" ht="13.2">
      <c r="A118" s="62"/>
      <c r="B118" s="67">
        <v>46142</v>
      </c>
      <c r="C118" s="68" t="s">
        <v>97</v>
      </c>
      <c r="D118" s="68" t="s">
        <v>3</v>
      </c>
      <c r="E118" s="69">
        <v>20</v>
      </c>
      <c r="F118" s="70" t="b">
        <v>1</v>
      </c>
      <c r="G118" s="62"/>
    </row>
    <row r="119" spans="1:7" ht="13.2">
      <c r="A119" s="62"/>
      <c r="B119" s="63">
        <v>46142</v>
      </c>
      <c r="C119" s="64" t="s">
        <v>113</v>
      </c>
      <c r="D119" s="64" t="s">
        <v>3</v>
      </c>
      <c r="E119" s="65">
        <v>20</v>
      </c>
      <c r="F119" s="66" t="b">
        <v>1</v>
      </c>
      <c r="G119" s="62"/>
    </row>
    <row r="120" spans="1:7" ht="13.2">
      <c r="A120" s="62"/>
      <c r="B120" s="67">
        <v>46142</v>
      </c>
      <c r="C120" s="68" t="s">
        <v>102</v>
      </c>
      <c r="D120" s="68" t="s">
        <v>3</v>
      </c>
      <c r="E120" s="69">
        <v>20</v>
      </c>
      <c r="F120" s="70" t="b">
        <v>1</v>
      </c>
      <c r="G120" s="62"/>
    </row>
    <row r="121" spans="1:7" ht="13.2">
      <c r="A121" s="62"/>
      <c r="B121" s="63">
        <v>46142</v>
      </c>
      <c r="C121" s="64" t="s">
        <v>110</v>
      </c>
      <c r="D121" s="64" t="s">
        <v>3</v>
      </c>
      <c r="E121" s="65">
        <v>20</v>
      </c>
      <c r="F121" s="66" t="b">
        <v>1</v>
      </c>
      <c r="G121" s="62"/>
    </row>
    <row r="122" spans="1:7" ht="13.2">
      <c r="A122" s="62"/>
      <c r="B122" s="67">
        <v>46142</v>
      </c>
      <c r="C122" s="68" t="s">
        <v>100</v>
      </c>
      <c r="D122" s="68" t="s">
        <v>3</v>
      </c>
      <c r="E122" s="69">
        <v>40</v>
      </c>
      <c r="F122" s="70" t="b">
        <v>1</v>
      </c>
      <c r="G122" s="62"/>
    </row>
    <row r="123" spans="1:7" ht="13.2">
      <c r="A123" s="62"/>
      <c r="B123" s="63">
        <v>46172</v>
      </c>
      <c r="C123" s="64" t="s">
        <v>17</v>
      </c>
      <c r="D123" s="64" t="s">
        <v>4</v>
      </c>
      <c r="E123" s="65">
        <v>20</v>
      </c>
      <c r="F123" s="66" t="b">
        <v>1</v>
      </c>
      <c r="G123" s="62"/>
    </row>
    <row r="124" spans="1:7" ht="13.2">
      <c r="A124" s="62"/>
      <c r="B124" s="67">
        <v>46172</v>
      </c>
      <c r="C124" s="68" t="s">
        <v>129</v>
      </c>
      <c r="D124" s="68" t="s">
        <v>4</v>
      </c>
      <c r="E124" s="69">
        <v>80</v>
      </c>
      <c r="F124" s="70" t="b">
        <v>1</v>
      </c>
      <c r="G124" s="62"/>
    </row>
    <row r="125" spans="1:7" ht="13.2">
      <c r="A125" s="62"/>
      <c r="B125" s="63">
        <v>46172</v>
      </c>
      <c r="C125" s="64" t="s">
        <v>108</v>
      </c>
      <c r="D125" s="64" t="s">
        <v>4</v>
      </c>
      <c r="E125" s="65">
        <v>20</v>
      </c>
      <c r="F125" s="66" t="b">
        <v>1</v>
      </c>
      <c r="G125" s="62"/>
    </row>
    <row r="126" spans="1:7" ht="13.2">
      <c r="A126" s="62"/>
      <c r="B126" s="67">
        <v>46172</v>
      </c>
      <c r="C126" s="68" t="s">
        <v>106</v>
      </c>
      <c r="D126" s="68" t="s">
        <v>4</v>
      </c>
      <c r="E126" s="69">
        <v>20</v>
      </c>
      <c r="F126" s="70" t="b">
        <v>1</v>
      </c>
      <c r="G126" s="62"/>
    </row>
    <row r="127" spans="1:7" ht="13.2">
      <c r="A127" s="62"/>
      <c r="B127" s="63">
        <v>46172</v>
      </c>
      <c r="C127" s="64" t="s">
        <v>25</v>
      </c>
      <c r="D127" s="64" t="s">
        <v>4</v>
      </c>
      <c r="E127" s="65">
        <v>80</v>
      </c>
      <c r="F127" s="66" t="b">
        <v>1</v>
      </c>
      <c r="G127" s="62"/>
    </row>
    <row r="128" spans="1:7" ht="13.2">
      <c r="A128" s="62"/>
      <c r="B128" s="67">
        <v>46172</v>
      </c>
      <c r="C128" s="68" t="s">
        <v>60</v>
      </c>
      <c r="D128" s="68" t="s">
        <v>4</v>
      </c>
      <c r="E128" s="69">
        <v>40</v>
      </c>
      <c r="F128" s="70" t="b">
        <v>1</v>
      </c>
      <c r="G128" s="62"/>
    </row>
    <row r="129" spans="1:7" ht="13.2">
      <c r="A129" s="62"/>
      <c r="B129" s="63">
        <v>46172</v>
      </c>
      <c r="C129" s="64" t="s">
        <v>101</v>
      </c>
      <c r="D129" s="64" t="s">
        <v>4</v>
      </c>
      <c r="E129" s="65">
        <v>20</v>
      </c>
      <c r="F129" s="66" t="b">
        <v>1</v>
      </c>
      <c r="G129" s="62"/>
    </row>
    <row r="130" spans="1:7" ht="13.2">
      <c r="A130" s="62"/>
      <c r="B130" s="67">
        <v>46172</v>
      </c>
      <c r="C130" s="68" t="s">
        <v>88</v>
      </c>
      <c r="D130" s="68" t="s">
        <v>4</v>
      </c>
      <c r="E130" s="69">
        <v>20</v>
      </c>
      <c r="F130" s="70" t="b">
        <v>1</v>
      </c>
      <c r="G130" s="62"/>
    </row>
    <row r="131" spans="1:7" ht="13.2">
      <c r="A131" s="62"/>
      <c r="B131" s="63">
        <v>46172</v>
      </c>
      <c r="C131" s="64" t="s">
        <v>115</v>
      </c>
      <c r="D131" s="64" t="s">
        <v>4</v>
      </c>
      <c r="E131" s="65">
        <v>20</v>
      </c>
      <c r="F131" s="66" t="b">
        <v>1</v>
      </c>
      <c r="G131" s="62"/>
    </row>
    <row r="132" spans="1:7" ht="13.2">
      <c r="A132" s="62"/>
      <c r="B132" s="67">
        <v>46172</v>
      </c>
      <c r="C132" s="68" t="s">
        <v>91</v>
      </c>
      <c r="D132" s="68" t="s">
        <v>4</v>
      </c>
      <c r="E132" s="69">
        <v>20</v>
      </c>
      <c r="F132" s="70" t="b">
        <v>1</v>
      </c>
      <c r="G132" s="62"/>
    </row>
    <row r="133" spans="1:7" ht="13.2">
      <c r="A133" s="62"/>
      <c r="B133" s="63">
        <v>46172</v>
      </c>
      <c r="C133" s="64" t="s">
        <v>114</v>
      </c>
      <c r="D133" s="64" t="s">
        <v>4</v>
      </c>
      <c r="E133" s="65">
        <v>80</v>
      </c>
      <c r="F133" s="66" t="b">
        <v>1</v>
      </c>
      <c r="G133" s="62"/>
    </row>
    <row r="134" spans="1:7" ht="13.2">
      <c r="A134" s="62"/>
      <c r="B134" s="67">
        <v>46172</v>
      </c>
      <c r="C134" s="68" t="s">
        <v>89</v>
      </c>
      <c r="D134" s="68" t="s">
        <v>4</v>
      </c>
      <c r="E134" s="69">
        <v>20</v>
      </c>
      <c r="F134" s="70" t="b">
        <v>1</v>
      </c>
      <c r="G134" s="62"/>
    </row>
    <row r="135" spans="1:7" ht="13.2">
      <c r="A135" s="62"/>
      <c r="B135" s="63">
        <v>46172</v>
      </c>
      <c r="C135" s="64" t="s">
        <v>130</v>
      </c>
      <c r="D135" s="64" t="s">
        <v>4</v>
      </c>
      <c r="E135" s="65">
        <v>20</v>
      </c>
      <c r="F135" s="66" t="b">
        <v>1</v>
      </c>
      <c r="G135" s="62"/>
    </row>
    <row r="136" spans="1:7" ht="13.2">
      <c r="A136" s="62"/>
      <c r="B136" s="67">
        <v>46172</v>
      </c>
      <c r="C136" s="68" t="s">
        <v>29</v>
      </c>
      <c r="D136" s="68" t="s">
        <v>4</v>
      </c>
      <c r="E136" s="69">
        <v>20</v>
      </c>
      <c r="F136" s="70" t="b">
        <v>1</v>
      </c>
      <c r="G136" s="62"/>
    </row>
    <row r="137" spans="1:7" ht="13.2">
      <c r="A137" s="62"/>
      <c r="B137" s="63">
        <v>46172</v>
      </c>
      <c r="C137" s="64" t="s">
        <v>93</v>
      </c>
      <c r="D137" s="64" t="s">
        <v>4</v>
      </c>
      <c r="E137" s="65">
        <v>20</v>
      </c>
      <c r="F137" s="66" t="b">
        <v>1</v>
      </c>
      <c r="G137" s="62"/>
    </row>
    <row r="138" spans="1:7" ht="13.2">
      <c r="A138" s="62"/>
      <c r="B138" s="67">
        <v>46172</v>
      </c>
      <c r="C138" s="68" t="s">
        <v>16</v>
      </c>
      <c r="D138" s="68" t="s">
        <v>4</v>
      </c>
      <c r="E138" s="69">
        <v>20</v>
      </c>
      <c r="F138" s="70" t="b">
        <v>1</v>
      </c>
      <c r="G138" s="62"/>
    </row>
    <row r="139" spans="1:7" ht="13.2">
      <c r="A139" s="62"/>
      <c r="B139" s="63">
        <v>46172</v>
      </c>
      <c r="C139" s="64" t="s">
        <v>92</v>
      </c>
      <c r="D139" s="64" t="s">
        <v>4</v>
      </c>
      <c r="E139" s="65">
        <v>20</v>
      </c>
      <c r="F139" s="66" t="b">
        <v>1</v>
      </c>
      <c r="G139" s="62"/>
    </row>
    <row r="140" spans="1:7" ht="13.2">
      <c r="A140" s="62"/>
      <c r="B140" s="67">
        <v>46172</v>
      </c>
      <c r="C140" s="68" t="s">
        <v>119</v>
      </c>
      <c r="D140" s="68" t="s">
        <v>4</v>
      </c>
      <c r="E140" s="69">
        <v>20</v>
      </c>
      <c r="F140" s="70" t="b">
        <v>1</v>
      </c>
      <c r="G140" s="62"/>
    </row>
    <row r="141" spans="1:7" ht="13.2">
      <c r="A141" s="62"/>
      <c r="B141" s="63">
        <v>46172</v>
      </c>
      <c r="C141" s="64" t="s">
        <v>87</v>
      </c>
      <c r="D141" s="64" t="s">
        <v>4</v>
      </c>
      <c r="E141" s="65">
        <v>20</v>
      </c>
      <c r="F141" s="66" t="b">
        <v>1</v>
      </c>
      <c r="G141" s="62"/>
    </row>
    <row r="142" spans="1:7" ht="13.2">
      <c r="A142" s="62"/>
      <c r="B142" s="67">
        <v>46172</v>
      </c>
      <c r="C142" s="68" t="s">
        <v>131</v>
      </c>
      <c r="D142" s="68" t="s">
        <v>4</v>
      </c>
      <c r="E142" s="75">
        <v>100</v>
      </c>
      <c r="F142" s="70" t="b">
        <v>1</v>
      </c>
      <c r="G142" s="62"/>
    </row>
    <row r="143" spans="1:7" ht="13.2">
      <c r="A143" s="62"/>
      <c r="B143" s="63">
        <v>46172</v>
      </c>
      <c r="C143" s="64" t="s">
        <v>113</v>
      </c>
      <c r="D143" s="64" t="s">
        <v>4</v>
      </c>
      <c r="E143" s="65">
        <v>20</v>
      </c>
      <c r="F143" s="66" t="b">
        <v>1</v>
      </c>
      <c r="G143" s="62"/>
    </row>
    <row r="144" spans="1:7" ht="13.2">
      <c r="A144" s="62"/>
      <c r="B144" s="67">
        <v>46172</v>
      </c>
      <c r="C144" s="68" t="s">
        <v>94</v>
      </c>
      <c r="D144" s="68" t="s">
        <v>4</v>
      </c>
      <c r="E144" s="69">
        <v>20</v>
      </c>
      <c r="F144" s="70" t="b">
        <v>1</v>
      </c>
      <c r="G144" s="62"/>
    </row>
    <row r="145" spans="1:7" ht="13.2">
      <c r="A145" s="62"/>
      <c r="B145" s="63">
        <v>46172</v>
      </c>
      <c r="C145" s="64" t="s">
        <v>61</v>
      </c>
      <c r="D145" s="64" t="s">
        <v>4</v>
      </c>
      <c r="E145" s="65">
        <v>40</v>
      </c>
      <c r="F145" s="66" t="b">
        <v>1</v>
      </c>
      <c r="G145" s="62"/>
    </row>
    <row r="146" spans="1:7" ht="13.2">
      <c r="A146" s="62"/>
      <c r="B146" s="67">
        <v>46172</v>
      </c>
      <c r="C146" s="68" t="s">
        <v>97</v>
      </c>
      <c r="D146" s="68" t="s">
        <v>4</v>
      </c>
      <c r="E146" s="69">
        <v>20</v>
      </c>
      <c r="F146" s="70" t="b">
        <v>1</v>
      </c>
      <c r="G146" s="62"/>
    </row>
    <row r="147" spans="1:7" ht="13.2">
      <c r="A147" s="62"/>
      <c r="B147" s="63">
        <v>46172</v>
      </c>
      <c r="C147" s="64" t="s">
        <v>83</v>
      </c>
      <c r="D147" s="64" t="s">
        <v>4</v>
      </c>
      <c r="E147" s="65">
        <v>80</v>
      </c>
      <c r="F147" s="66" t="b">
        <v>1</v>
      </c>
      <c r="G147" s="62"/>
    </row>
    <row r="148" spans="1:7" ht="13.2">
      <c r="A148" s="62"/>
      <c r="B148" s="67">
        <v>46172</v>
      </c>
      <c r="C148" s="68" t="s">
        <v>51</v>
      </c>
      <c r="D148" s="68" t="s">
        <v>4</v>
      </c>
      <c r="E148" s="69">
        <v>20</v>
      </c>
      <c r="F148" s="70" t="b">
        <v>1</v>
      </c>
      <c r="G148" s="62"/>
    </row>
    <row r="149" spans="1:7" ht="13.2">
      <c r="A149" s="62"/>
      <c r="B149" s="63">
        <v>46172</v>
      </c>
      <c r="C149" s="64" t="s">
        <v>95</v>
      </c>
      <c r="D149" s="64" t="s">
        <v>4</v>
      </c>
      <c r="E149" s="65">
        <v>20</v>
      </c>
      <c r="F149" s="66" t="b">
        <v>1</v>
      </c>
      <c r="G149" s="62"/>
    </row>
    <row r="150" spans="1:7" ht="13.2">
      <c r="A150" s="62"/>
      <c r="B150" s="67">
        <v>46172</v>
      </c>
      <c r="C150" s="68" t="s">
        <v>132</v>
      </c>
      <c r="D150" s="68" t="s">
        <v>4</v>
      </c>
      <c r="E150" s="69">
        <v>20</v>
      </c>
      <c r="F150" s="70" t="b">
        <v>1</v>
      </c>
      <c r="G150" s="62"/>
    </row>
    <row r="151" spans="1:7" ht="13.2">
      <c r="A151" s="62"/>
      <c r="B151" s="63">
        <v>46179</v>
      </c>
      <c r="C151" s="64" t="s">
        <v>17</v>
      </c>
      <c r="D151" s="64" t="s">
        <v>5</v>
      </c>
      <c r="E151" s="65">
        <v>20</v>
      </c>
      <c r="F151" s="66" t="b">
        <v>1</v>
      </c>
      <c r="G151" s="62"/>
    </row>
    <row r="152" spans="1:7" ht="13.2">
      <c r="A152" s="62"/>
      <c r="B152" s="67">
        <v>46179</v>
      </c>
      <c r="C152" s="68" t="s">
        <v>102</v>
      </c>
      <c r="D152" s="68" t="s">
        <v>5</v>
      </c>
      <c r="E152" s="69">
        <v>20</v>
      </c>
      <c r="F152" s="70" t="b">
        <v>1</v>
      </c>
      <c r="G152" s="62"/>
    </row>
    <row r="153" spans="1:7" ht="13.2">
      <c r="A153" s="62"/>
      <c r="B153" s="63">
        <v>46179</v>
      </c>
      <c r="C153" s="64" t="s">
        <v>109</v>
      </c>
      <c r="D153" s="64" t="s">
        <v>5</v>
      </c>
      <c r="E153" s="65">
        <v>40</v>
      </c>
      <c r="F153" s="66" t="b">
        <v>1</v>
      </c>
      <c r="G153" s="62"/>
    </row>
    <row r="154" spans="1:7" ht="13.2">
      <c r="A154" s="62"/>
      <c r="B154" s="67">
        <v>46179</v>
      </c>
      <c r="C154" s="68" t="s">
        <v>88</v>
      </c>
      <c r="D154" s="68" t="s">
        <v>5</v>
      </c>
      <c r="E154" s="69">
        <v>20</v>
      </c>
      <c r="F154" s="70" t="b">
        <v>1</v>
      </c>
      <c r="G154" s="62"/>
    </row>
    <row r="155" spans="1:7" ht="13.2">
      <c r="A155" s="62"/>
      <c r="B155" s="63">
        <v>46179</v>
      </c>
      <c r="C155" s="64" t="s">
        <v>91</v>
      </c>
      <c r="D155" s="64" t="s">
        <v>5</v>
      </c>
      <c r="E155" s="65">
        <v>20</v>
      </c>
      <c r="F155" s="66" t="b">
        <v>1</v>
      </c>
      <c r="G155" s="62"/>
    </row>
    <row r="156" spans="1:7" ht="13.2">
      <c r="A156" s="62"/>
      <c r="B156" s="67">
        <v>46179</v>
      </c>
      <c r="C156" s="68" t="s">
        <v>96</v>
      </c>
      <c r="D156" s="68" t="s">
        <v>5</v>
      </c>
      <c r="E156" s="69">
        <v>60</v>
      </c>
      <c r="F156" s="70" t="b">
        <v>1</v>
      </c>
      <c r="G156" s="62"/>
    </row>
    <row r="157" spans="1:7" ht="13.2">
      <c r="A157" s="62"/>
      <c r="B157" s="63">
        <v>46179</v>
      </c>
      <c r="C157" s="64" t="s">
        <v>101</v>
      </c>
      <c r="D157" s="64" t="s">
        <v>5</v>
      </c>
      <c r="E157" s="65">
        <v>20</v>
      </c>
      <c r="F157" s="66" t="b">
        <v>1</v>
      </c>
      <c r="G157" s="62"/>
    </row>
    <row r="158" spans="1:7" ht="13.2">
      <c r="A158" s="62"/>
      <c r="B158" s="67">
        <v>46179</v>
      </c>
      <c r="C158" s="68" t="s">
        <v>93</v>
      </c>
      <c r="D158" s="68" t="s">
        <v>5</v>
      </c>
      <c r="E158" s="69">
        <v>20</v>
      </c>
      <c r="F158" s="70" t="b">
        <v>1</v>
      </c>
      <c r="G158" s="62"/>
    </row>
    <row r="159" spans="1:7" ht="13.2">
      <c r="A159" s="62"/>
      <c r="B159" s="63">
        <v>46179</v>
      </c>
      <c r="C159" s="64" t="s">
        <v>89</v>
      </c>
      <c r="D159" s="64" t="s">
        <v>5</v>
      </c>
      <c r="E159" s="65">
        <v>20</v>
      </c>
      <c r="F159" s="66" t="b">
        <v>1</v>
      </c>
      <c r="G159" s="62"/>
    </row>
    <row r="160" spans="1:7" ht="13.2">
      <c r="A160" s="62"/>
      <c r="B160" s="67">
        <v>46179</v>
      </c>
      <c r="C160" s="68" t="s">
        <v>87</v>
      </c>
      <c r="D160" s="68" t="s">
        <v>5</v>
      </c>
      <c r="E160" s="69">
        <v>20</v>
      </c>
      <c r="F160" s="70" t="b">
        <v>1</v>
      </c>
      <c r="G160" s="62"/>
    </row>
    <row r="161" spans="1:7" ht="13.2">
      <c r="A161" s="62"/>
      <c r="B161" s="63">
        <v>46179</v>
      </c>
      <c r="C161" s="64" t="s">
        <v>60</v>
      </c>
      <c r="D161" s="64" t="s">
        <v>5</v>
      </c>
      <c r="E161" s="65">
        <v>20</v>
      </c>
      <c r="F161" s="66" t="b">
        <v>1</v>
      </c>
      <c r="G161" s="62"/>
    </row>
    <row r="162" spans="1:7" ht="13.2">
      <c r="A162" s="62"/>
      <c r="B162" s="67">
        <v>46179</v>
      </c>
      <c r="C162" s="68" t="s">
        <v>115</v>
      </c>
      <c r="D162" s="68" t="s">
        <v>5</v>
      </c>
      <c r="E162" s="69">
        <v>20</v>
      </c>
      <c r="F162" s="70" t="b">
        <v>1</v>
      </c>
      <c r="G162" s="62"/>
    </row>
    <row r="163" spans="1:7" ht="13.2">
      <c r="A163" s="62"/>
      <c r="B163" s="63">
        <v>46187</v>
      </c>
      <c r="C163" s="64" t="s">
        <v>98</v>
      </c>
      <c r="D163" s="64" t="s">
        <v>5</v>
      </c>
      <c r="E163" s="65">
        <v>60</v>
      </c>
      <c r="F163" s="66" t="b">
        <v>1</v>
      </c>
      <c r="G163" s="62"/>
    </row>
    <row r="164" spans="1:7" ht="13.2">
      <c r="A164" s="62"/>
      <c r="B164" s="67">
        <v>46187</v>
      </c>
      <c r="C164" s="68" t="s">
        <v>25</v>
      </c>
      <c r="D164" s="68" t="s">
        <v>5</v>
      </c>
      <c r="E164" s="69">
        <v>40</v>
      </c>
      <c r="F164" s="70" t="b">
        <v>1</v>
      </c>
      <c r="G164" s="62"/>
    </row>
    <row r="165" spans="1:7" ht="13.2">
      <c r="A165" s="62"/>
      <c r="B165" s="63">
        <v>46187</v>
      </c>
      <c r="C165" s="64" t="s">
        <v>130</v>
      </c>
      <c r="D165" s="64" t="s">
        <v>5</v>
      </c>
      <c r="E165" s="65">
        <v>20</v>
      </c>
      <c r="F165" s="66" t="b">
        <v>1</v>
      </c>
      <c r="G165" s="62"/>
    </row>
    <row r="166" spans="1:7" ht="13.2">
      <c r="A166" s="62"/>
      <c r="B166" s="67">
        <v>46187</v>
      </c>
      <c r="C166" s="68" t="s">
        <v>126</v>
      </c>
      <c r="D166" s="68" t="s">
        <v>5</v>
      </c>
      <c r="E166" s="69">
        <v>60</v>
      </c>
      <c r="F166" s="70" t="b">
        <v>1</v>
      </c>
      <c r="G166" s="62"/>
    </row>
    <row r="167" spans="1:7" ht="13.2">
      <c r="A167" s="62"/>
      <c r="B167" s="63">
        <v>46187</v>
      </c>
      <c r="C167" s="64" t="s">
        <v>127</v>
      </c>
      <c r="D167" s="64" t="s">
        <v>5</v>
      </c>
      <c r="E167" s="65">
        <v>60</v>
      </c>
      <c r="F167" s="66" t="b">
        <v>1</v>
      </c>
      <c r="G167" s="62"/>
    </row>
    <row r="168" spans="1:7" ht="13.2">
      <c r="A168" s="62"/>
      <c r="B168" s="67">
        <v>46187</v>
      </c>
      <c r="C168" s="68" t="s">
        <v>124</v>
      </c>
      <c r="D168" s="68" t="s">
        <v>5</v>
      </c>
      <c r="E168" s="69">
        <v>60</v>
      </c>
      <c r="F168" s="70" t="b">
        <v>1</v>
      </c>
      <c r="G168" s="62"/>
    </row>
    <row r="169" spans="1:7" ht="13.2">
      <c r="A169" s="62"/>
      <c r="B169" s="63">
        <v>46187</v>
      </c>
      <c r="C169" s="64" t="s">
        <v>111</v>
      </c>
      <c r="D169" s="64" t="s">
        <v>5</v>
      </c>
      <c r="E169" s="65">
        <v>40</v>
      </c>
      <c r="F169" s="66" t="b">
        <v>1</v>
      </c>
      <c r="G169" s="62"/>
    </row>
    <row r="170" spans="1:7" ht="13.2">
      <c r="A170" s="62"/>
      <c r="B170" s="67">
        <v>46187</v>
      </c>
      <c r="C170" s="68" t="s">
        <v>16</v>
      </c>
      <c r="D170" s="68" t="s">
        <v>5</v>
      </c>
      <c r="E170" s="69">
        <v>20</v>
      </c>
      <c r="F170" s="70" t="b">
        <v>1</v>
      </c>
      <c r="G170" s="62"/>
    </row>
    <row r="171" spans="1:7" ht="13.2">
      <c r="A171" s="62"/>
      <c r="B171" s="63">
        <v>46187</v>
      </c>
      <c r="C171" s="64" t="s">
        <v>29</v>
      </c>
      <c r="D171" s="64" t="s">
        <v>5</v>
      </c>
      <c r="E171" s="65">
        <v>20</v>
      </c>
      <c r="F171" s="66" t="b">
        <v>1</v>
      </c>
      <c r="G171" s="62"/>
    </row>
    <row r="172" spans="1:7" ht="13.2">
      <c r="A172" s="62"/>
      <c r="B172" s="67">
        <v>46187</v>
      </c>
      <c r="C172" s="68" t="s">
        <v>116</v>
      </c>
      <c r="D172" s="68" t="s">
        <v>5</v>
      </c>
      <c r="E172" s="69">
        <v>20</v>
      </c>
      <c r="F172" s="70" t="b">
        <v>1</v>
      </c>
      <c r="G172" s="62"/>
    </row>
    <row r="173" spans="1:7" ht="13.2">
      <c r="A173" s="62"/>
      <c r="B173" s="63">
        <v>46187</v>
      </c>
      <c r="C173" s="64" t="s">
        <v>107</v>
      </c>
      <c r="D173" s="64" t="s">
        <v>5</v>
      </c>
      <c r="E173" s="65">
        <v>40</v>
      </c>
      <c r="F173" s="66" t="b">
        <v>1</v>
      </c>
      <c r="G173" s="62"/>
    </row>
    <row r="174" spans="1:7" ht="13.2">
      <c r="A174" s="62"/>
      <c r="B174" s="67">
        <v>46187</v>
      </c>
      <c r="C174" s="68" t="s">
        <v>119</v>
      </c>
      <c r="D174" s="68" t="s">
        <v>5</v>
      </c>
      <c r="E174" s="69">
        <v>20</v>
      </c>
      <c r="F174" s="70" t="b">
        <v>1</v>
      </c>
      <c r="G174" s="62"/>
    </row>
    <row r="175" spans="1:7" ht="13.2">
      <c r="A175" s="62"/>
      <c r="B175" s="63">
        <v>46187</v>
      </c>
      <c r="C175" s="64" t="s">
        <v>100</v>
      </c>
      <c r="D175" s="64" t="s">
        <v>5</v>
      </c>
      <c r="E175" s="65">
        <v>20</v>
      </c>
      <c r="F175" s="66" t="b">
        <v>1</v>
      </c>
      <c r="G175" s="62"/>
    </row>
    <row r="176" spans="1:7" ht="13.2">
      <c r="A176" s="62"/>
      <c r="B176" s="67">
        <v>46187</v>
      </c>
      <c r="C176" s="68" t="s">
        <v>133</v>
      </c>
      <c r="D176" s="68" t="s">
        <v>5</v>
      </c>
      <c r="E176" s="69">
        <v>60</v>
      </c>
      <c r="F176" s="70" t="b">
        <v>1</v>
      </c>
      <c r="G176" s="62"/>
    </row>
    <row r="177" spans="1:7" ht="13.2">
      <c r="A177" s="62"/>
      <c r="B177" s="63">
        <v>46187</v>
      </c>
      <c r="C177" s="64" t="s">
        <v>114</v>
      </c>
      <c r="D177" s="64" t="s">
        <v>5</v>
      </c>
      <c r="E177" s="65">
        <v>60</v>
      </c>
      <c r="F177" s="66" t="b">
        <v>1</v>
      </c>
      <c r="G177" s="62"/>
    </row>
    <row r="178" spans="1:7" ht="13.2">
      <c r="A178" s="62"/>
      <c r="B178" s="67">
        <v>46187</v>
      </c>
      <c r="C178" s="68" t="s">
        <v>51</v>
      </c>
      <c r="D178" s="68" t="s">
        <v>5</v>
      </c>
      <c r="E178" s="69">
        <v>20</v>
      </c>
      <c r="F178" s="70" t="b">
        <v>1</v>
      </c>
      <c r="G178" s="62"/>
    </row>
    <row r="179" spans="1:7" ht="13.2">
      <c r="A179" s="62"/>
      <c r="B179" s="63">
        <v>46187</v>
      </c>
      <c r="C179" s="64" t="s">
        <v>92</v>
      </c>
      <c r="D179" s="64" t="s">
        <v>5</v>
      </c>
      <c r="E179" s="65">
        <v>20</v>
      </c>
      <c r="F179" s="66" t="b">
        <v>1</v>
      </c>
      <c r="G179" s="62"/>
    </row>
    <row r="180" spans="1:7" ht="13.2">
      <c r="A180" s="62"/>
      <c r="B180" s="67">
        <v>46221</v>
      </c>
      <c r="C180" s="68" t="s">
        <v>113</v>
      </c>
      <c r="D180" s="68" t="s">
        <v>5</v>
      </c>
      <c r="E180" s="69">
        <v>20</v>
      </c>
      <c r="F180" s="70" t="b">
        <v>1</v>
      </c>
      <c r="G180" s="62"/>
    </row>
    <row r="181" spans="1:7" ht="13.2">
      <c r="A181" s="62"/>
      <c r="B181" s="63">
        <v>46221</v>
      </c>
      <c r="C181" s="64" t="s">
        <v>72</v>
      </c>
      <c r="D181" s="64" t="s">
        <v>5</v>
      </c>
      <c r="E181" s="65">
        <v>40</v>
      </c>
      <c r="F181" s="66" t="b">
        <v>1</v>
      </c>
      <c r="G181" s="62"/>
    </row>
    <row r="182" spans="1:7" ht="13.2">
      <c r="A182" s="62"/>
      <c r="B182" s="67">
        <v>46221</v>
      </c>
      <c r="C182" s="68" t="s">
        <v>94</v>
      </c>
      <c r="D182" s="68" t="s">
        <v>5</v>
      </c>
      <c r="E182" s="69">
        <v>20</v>
      </c>
      <c r="F182" s="70" t="b">
        <v>1</v>
      </c>
      <c r="G182" s="62"/>
    </row>
    <row r="183" spans="1:7" ht="13.2">
      <c r="A183" s="62"/>
      <c r="B183" s="63">
        <v>46221</v>
      </c>
      <c r="C183" s="64" t="s">
        <v>108</v>
      </c>
      <c r="D183" s="64" t="s">
        <v>5</v>
      </c>
      <c r="E183" s="65">
        <v>40</v>
      </c>
      <c r="F183" s="66" t="b">
        <v>1</v>
      </c>
      <c r="G183" s="62"/>
    </row>
    <row r="184" spans="1:7" ht="13.2">
      <c r="A184" s="62"/>
      <c r="B184" s="67">
        <v>46221</v>
      </c>
      <c r="C184" s="68" t="s">
        <v>122</v>
      </c>
      <c r="D184" s="68" t="s">
        <v>5</v>
      </c>
      <c r="E184" s="69">
        <v>100</v>
      </c>
      <c r="F184" s="70" t="b">
        <v>1</v>
      </c>
      <c r="G184" s="62"/>
    </row>
    <row r="185" spans="1:7" ht="13.2">
      <c r="A185" s="62"/>
      <c r="B185" s="63">
        <v>46221</v>
      </c>
      <c r="C185" s="64" t="s">
        <v>132</v>
      </c>
      <c r="D185" s="64" t="s">
        <v>5</v>
      </c>
      <c r="E185" s="65">
        <v>20</v>
      </c>
      <c r="F185" s="66" t="b">
        <v>1</v>
      </c>
      <c r="G185" s="62"/>
    </row>
    <row r="186" spans="1:7" ht="13.2">
      <c r="A186" s="62"/>
      <c r="B186" s="67">
        <v>46221</v>
      </c>
      <c r="C186" s="68" t="s">
        <v>61</v>
      </c>
      <c r="D186" s="68" t="s">
        <v>5</v>
      </c>
      <c r="E186" s="69">
        <v>20</v>
      </c>
      <c r="F186" s="70" t="b">
        <v>1</v>
      </c>
      <c r="G186" s="62"/>
    </row>
    <row r="187" spans="1:7" ht="13.2">
      <c r="A187" s="62"/>
      <c r="B187" s="63">
        <v>46221</v>
      </c>
      <c r="C187" s="64" t="s">
        <v>109</v>
      </c>
      <c r="D187" s="64" t="s">
        <v>5</v>
      </c>
      <c r="E187" s="65">
        <v>20</v>
      </c>
      <c r="F187" s="66" t="b">
        <v>1</v>
      </c>
      <c r="G187" s="62"/>
    </row>
    <row r="188" spans="1:7" ht="13.2">
      <c r="A188" s="62"/>
      <c r="B188" s="67">
        <v>46221</v>
      </c>
      <c r="C188" s="68" t="s">
        <v>110</v>
      </c>
      <c r="D188" s="68" t="s">
        <v>5</v>
      </c>
      <c r="E188" s="69">
        <v>80</v>
      </c>
      <c r="F188" s="70" t="b">
        <v>1</v>
      </c>
      <c r="G188" s="62"/>
    </row>
    <row r="189" spans="1:7" ht="13.2">
      <c r="A189" s="62"/>
      <c r="B189" s="63">
        <v>46221</v>
      </c>
      <c r="C189" s="64" t="s">
        <v>106</v>
      </c>
      <c r="D189" s="64" t="s">
        <v>5</v>
      </c>
      <c r="E189" s="65">
        <v>60</v>
      </c>
      <c r="F189" s="66" t="b">
        <v>1</v>
      </c>
      <c r="G189" s="62"/>
    </row>
    <row r="190" spans="1:7" ht="13.2">
      <c r="A190" s="62"/>
      <c r="B190" s="67">
        <v>46221</v>
      </c>
      <c r="C190" s="68" t="s">
        <v>123</v>
      </c>
      <c r="D190" s="68" t="s">
        <v>5</v>
      </c>
      <c r="E190" s="69">
        <v>80</v>
      </c>
      <c r="F190" s="70" t="b">
        <v>1</v>
      </c>
      <c r="G190" s="62"/>
    </row>
    <row r="191" spans="1:7" ht="13.2">
      <c r="A191" s="62"/>
      <c r="B191" s="63">
        <v>46237</v>
      </c>
      <c r="C191" s="64" t="s">
        <v>17</v>
      </c>
      <c r="D191" s="64" t="s">
        <v>6</v>
      </c>
      <c r="E191" s="65">
        <v>20</v>
      </c>
      <c r="F191" s="66" t="b">
        <v>1</v>
      </c>
      <c r="G191" s="62"/>
    </row>
    <row r="192" spans="1:7" ht="13.2">
      <c r="A192" s="62"/>
      <c r="B192" s="67">
        <v>46237</v>
      </c>
      <c r="C192" s="68" t="s">
        <v>91</v>
      </c>
      <c r="D192" s="68" t="s">
        <v>6</v>
      </c>
      <c r="E192" s="69">
        <v>20</v>
      </c>
      <c r="F192" s="70" t="b">
        <v>1</v>
      </c>
      <c r="G192" s="62"/>
    </row>
    <row r="193" spans="1:7" ht="13.2">
      <c r="A193" s="62"/>
      <c r="B193" s="63">
        <v>46237</v>
      </c>
      <c r="C193" s="64" t="s">
        <v>102</v>
      </c>
      <c r="D193" s="64" t="s">
        <v>6</v>
      </c>
      <c r="E193" s="65">
        <v>20</v>
      </c>
      <c r="F193" s="66" t="b">
        <v>1</v>
      </c>
      <c r="G193" s="62"/>
    </row>
    <row r="194" spans="1:7" ht="13.2">
      <c r="A194" s="62"/>
      <c r="B194" s="67">
        <v>46237</v>
      </c>
      <c r="C194" s="68" t="s">
        <v>25</v>
      </c>
      <c r="D194" s="68" t="s">
        <v>6</v>
      </c>
      <c r="E194" s="69">
        <v>20</v>
      </c>
      <c r="F194" s="70" t="b">
        <v>1</v>
      </c>
      <c r="G194" s="62"/>
    </row>
    <row r="195" spans="1:7" ht="13.2">
      <c r="A195" s="62"/>
      <c r="B195" s="63">
        <v>46237</v>
      </c>
      <c r="C195" s="64" t="s">
        <v>29</v>
      </c>
      <c r="D195" s="64" t="s">
        <v>6</v>
      </c>
      <c r="E195" s="65">
        <v>20</v>
      </c>
      <c r="F195" s="66" t="b">
        <v>1</v>
      </c>
      <c r="G195" s="62"/>
    </row>
    <row r="196" spans="1:7" ht="13.2">
      <c r="A196" s="62"/>
      <c r="B196" s="67">
        <v>46237</v>
      </c>
      <c r="C196" s="68" t="s">
        <v>88</v>
      </c>
      <c r="D196" s="68" t="s">
        <v>6</v>
      </c>
      <c r="E196" s="69">
        <v>20</v>
      </c>
      <c r="F196" s="70" t="b">
        <v>1</v>
      </c>
      <c r="G196" s="62"/>
    </row>
    <row r="197" spans="1:7" ht="13.2">
      <c r="A197" s="62"/>
      <c r="B197" s="63">
        <v>46237</v>
      </c>
      <c r="C197" s="64" t="s">
        <v>104</v>
      </c>
      <c r="D197" s="64" t="s">
        <v>6</v>
      </c>
      <c r="E197" s="65">
        <v>160</v>
      </c>
      <c r="F197" s="66" t="b">
        <v>1</v>
      </c>
      <c r="G197" s="62"/>
    </row>
    <row r="198" spans="1:7" ht="13.2">
      <c r="A198" s="62"/>
      <c r="B198" s="67">
        <v>46237</v>
      </c>
      <c r="C198" s="68" t="s">
        <v>115</v>
      </c>
      <c r="D198" s="68" t="s">
        <v>6</v>
      </c>
      <c r="E198" s="69">
        <v>20</v>
      </c>
      <c r="F198" s="70" t="b">
        <v>1</v>
      </c>
      <c r="G198" s="62"/>
    </row>
    <row r="199" spans="1:7" ht="13.2">
      <c r="A199" s="62"/>
      <c r="B199" s="63">
        <v>46237</v>
      </c>
      <c r="C199" s="64" t="s">
        <v>89</v>
      </c>
      <c r="D199" s="64" t="s">
        <v>6</v>
      </c>
      <c r="E199" s="65">
        <v>20</v>
      </c>
      <c r="F199" s="66" t="b">
        <v>1</v>
      </c>
      <c r="G199" s="62"/>
    </row>
    <row r="200" spans="1:7" ht="13.2">
      <c r="A200" s="62"/>
      <c r="B200" s="67">
        <v>46237</v>
      </c>
      <c r="C200" s="68" t="s">
        <v>51</v>
      </c>
      <c r="D200" s="68" t="s">
        <v>6</v>
      </c>
      <c r="E200" s="69">
        <v>20</v>
      </c>
      <c r="F200" s="70" t="b">
        <v>1</v>
      </c>
      <c r="G200" s="62"/>
    </row>
    <row r="201" spans="1:7" ht="13.2">
      <c r="A201" s="62"/>
      <c r="B201" s="63">
        <v>46237</v>
      </c>
      <c r="C201" s="64" t="s">
        <v>87</v>
      </c>
      <c r="D201" s="64" t="s">
        <v>6</v>
      </c>
      <c r="E201" s="65">
        <v>20</v>
      </c>
      <c r="F201" s="66" t="b">
        <v>1</v>
      </c>
      <c r="G201" s="62"/>
    </row>
    <row r="202" spans="1:7" ht="13.2">
      <c r="A202" s="62"/>
      <c r="B202" s="67">
        <v>46237</v>
      </c>
      <c r="C202" s="68" t="s">
        <v>93</v>
      </c>
      <c r="D202" s="68" t="s">
        <v>6</v>
      </c>
      <c r="E202" s="69">
        <v>20</v>
      </c>
      <c r="F202" s="70" t="b">
        <v>1</v>
      </c>
      <c r="G202" s="62"/>
    </row>
    <row r="203" spans="1:7" ht="13.2">
      <c r="A203" s="62"/>
      <c r="B203" s="63">
        <v>46237</v>
      </c>
      <c r="C203" s="64" t="s">
        <v>16</v>
      </c>
      <c r="D203" s="64" t="s">
        <v>6</v>
      </c>
      <c r="E203" s="65">
        <v>20</v>
      </c>
      <c r="F203" s="66" t="b">
        <v>1</v>
      </c>
      <c r="G203" s="62"/>
    </row>
    <row r="204" spans="1:7" ht="13.2">
      <c r="A204" s="62"/>
      <c r="B204" s="67">
        <v>46237</v>
      </c>
      <c r="C204" s="68" t="s">
        <v>92</v>
      </c>
      <c r="D204" s="68" t="s">
        <v>6</v>
      </c>
      <c r="E204" s="69">
        <v>20</v>
      </c>
      <c r="F204" s="70" t="b">
        <v>1</v>
      </c>
      <c r="G204" s="62"/>
    </row>
    <row r="205" spans="1:7" ht="13.2">
      <c r="A205" s="62"/>
      <c r="B205" s="63">
        <v>46237</v>
      </c>
      <c r="C205" s="64" t="s">
        <v>104</v>
      </c>
      <c r="D205" s="64" t="s">
        <v>6</v>
      </c>
      <c r="E205" s="65">
        <v>20</v>
      </c>
      <c r="F205" s="66" t="b">
        <v>1</v>
      </c>
      <c r="G205" s="62"/>
    </row>
    <row r="206" spans="1:7" ht="13.2">
      <c r="A206" s="62"/>
      <c r="B206" s="67">
        <v>46237</v>
      </c>
      <c r="C206" s="68" t="s">
        <v>101</v>
      </c>
      <c r="D206" s="68" t="s">
        <v>6</v>
      </c>
      <c r="E206" s="69">
        <v>20</v>
      </c>
      <c r="F206" s="70" t="b">
        <v>1</v>
      </c>
      <c r="G206" s="62"/>
    </row>
    <row r="207" spans="1:7" ht="13.2">
      <c r="A207" s="62"/>
      <c r="B207" s="63">
        <v>46237</v>
      </c>
      <c r="C207" s="64" t="s">
        <v>119</v>
      </c>
      <c r="D207" s="64" t="s">
        <v>6</v>
      </c>
      <c r="E207" s="65">
        <v>20</v>
      </c>
      <c r="F207" s="66" t="b">
        <v>1</v>
      </c>
      <c r="G207" s="62"/>
    </row>
    <row r="208" spans="1:7" ht="13.2">
      <c r="A208" s="62"/>
      <c r="B208" s="67">
        <v>46237</v>
      </c>
      <c r="C208" s="68" t="s">
        <v>132</v>
      </c>
      <c r="D208" s="68" t="s">
        <v>6</v>
      </c>
      <c r="E208" s="69">
        <v>20</v>
      </c>
      <c r="F208" s="70" t="b">
        <v>1</v>
      </c>
      <c r="G208" s="62"/>
    </row>
    <row r="209" spans="1:7" ht="13.2">
      <c r="A209" s="62"/>
      <c r="B209" s="63">
        <v>46237</v>
      </c>
      <c r="C209" s="64" t="s">
        <v>83</v>
      </c>
      <c r="D209" s="64" t="s">
        <v>6</v>
      </c>
      <c r="E209" s="65">
        <v>20</v>
      </c>
      <c r="F209" s="66" t="b">
        <v>1</v>
      </c>
      <c r="G209" s="62"/>
    </row>
    <row r="210" spans="1:7" ht="13.2">
      <c r="A210" s="62"/>
      <c r="B210" s="67">
        <v>46237</v>
      </c>
      <c r="C210" s="68" t="s">
        <v>113</v>
      </c>
      <c r="D210" s="68" t="s">
        <v>6</v>
      </c>
      <c r="E210" s="69">
        <v>20</v>
      </c>
      <c r="F210" s="70" t="b">
        <v>1</v>
      </c>
      <c r="G210" s="62"/>
    </row>
    <row r="211" spans="1:7" ht="13.2">
      <c r="A211" s="62"/>
      <c r="B211" s="63">
        <v>46237</v>
      </c>
      <c r="C211" s="64" t="s">
        <v>60</v>
      </c>
      <c r="D211" s="64" t="s">
        <v>6</v>
      </c>
      <c r="E211" s="65">
        <v>20</v>
      </c>
      <c r="F211" s="66" t="b">
        <v>1</v>
      </c>
      <c r="G211" s="62"/>
    </row>
    <row r="212" spans="1:7" ht="13.2">
      <c r="A212" s="62"/>
      <c r="B212" s="67">
        <v>46237</v>
      </c>
      <c r="C212" s="68" t="s">
        <v>116</v>
      </c>
      <c r="D212" s="68" t="s">
        <v>6</v>
      </c>
      <c r="E212" s="69">
        <v>20</v>
      </c>
      <c r="F212" s="70" t="b">
        <v>1</v>
      </c>
      <c r="G212" s="62"/>
    </row>
    <row r="213" spans="1:7" ht="13.2">
      <c r="A213" s="62"/>
      <c r="B213" s="63">
        <v>46237</v>
      </c>
      <c r="C213" s="64" t="s">
        <v>97</v>
      </c>
      <c r="D213" s="64" t="s">
        <v>6</v>
      </c>
      <c r="E213" s="65">
        <v>20</v>
      </c>
      <c r="F213" s="66" t="b">
        <v>1</v>
      </c>
      <c r="G213" s="62"/>
    </row>
    <row r="214" spans="1:7" ht="13.2">
      <c r="A214" s="62"/>
      <c r="B214" s="67">
        <v>46237</v>
      </c>
      <c r="C214" s="68" t="s">
        <v>134</v>
      </c>
      <c r="D214" s="68" t="s">
        <v>6</v>
      </c>
      <c r="E214" s="69">
        <v>20</v>
      </c>
      <c r="F214" s="70" t="b">
        <v>1</v>
      </c>
      <c r="G214" s="62"/>
    </row>
    <row r="215" spans="1:7" ht="13.2">
      <c r="A215" s="62"/>
      <c r="B215" s="63">
        <v>46240</v>
      </c>
      <c r="C215" s="64" t="s">
        <v>17</v>
      </c>
      <c r="D215" s="64" t="s">
        <v>7</v>
      </c>
      <c r="E215" s="65">
        <v>20</v>
      </c>
      <c r="F215" s="66" t="b">
        <v>1</v>
      </c>
      <c r="G215" s="62"/>
    </row>
    <row r="216" spans="1:7" ht="13.2">
      <c r="A216" s="62"/>
      <c r="B216" s="67">
        <v>46240</v>
      </c>
      <c r="C216" s="68" t="s">
        <v>94</v>
      </c>
      <c r="D216" s="68" t="s">
        <v>7</v>
      </c>
      <c r="E216" s="69">
        <v>20</v>
      </c>
      <c r="F216" s="70" t="b">
        <v>1</v>
      </c>
      <c r="G216" s="62"/>
    </row>
    <row r="217" spans="1:7" ht="13.2">
      <c r="A217" s="62"/>
      <c r="B217" s="63">
        <v>46240</v>
      </c>
      <c r="C217" s="64" t="s">
        <v>105</v>
      </c>
      <c r="D217" s="64" t="s">
        <v>7</v>
      </c>
      <c r="E217" s="65">
        <v>100</v>
      </c>
      <c r="F217" s="66" t="b">
        <v>1</v>
      </c>
      <c r="G217" s="62"/>
    </row>
    <row r="218" spans="1:7" ht="13.2">
      <c r="A218" s="62"/>
      <c r="B218" s="67">
        <v>46240</v>
      </c>
      <c r="C218" s="68" t="s">
        <v>98</v>
      </c>
      <c r="D218" s="68" t="s">
        <v>7</v>
      </c>
      <c r="E218" s="69">
        <v>40</v>
      </c>
      <c r="F218" s="70" t="b">
        <v>1</v>
      </c>
      <c r="G218" s="62"/>
    </row>
    <row r="219" spans="1:7" ht="13.2">
      <c r="A219" s="62"/>
      <c r="B219" s="63">
        <v>46240</v>
      </c>
      <c r="C219" s="64" t="s">
        <v>88</v>
      </c>
      <c r="D219" s="64" t="s">
        <v>7</v>
      </c>
      <c r="E219" s="65">
        <v>20</v>
      </c>
      <c r="F219" s="66" t="b">
        <v>1</v>
      </c>
      <c r="G219" s="62"/>
    </row>
    <row r="220" spans="1:7" ht="13.2">
      <c r="A220" s="62"/>
      <c r="B220" s="67">
        <v>46240</v>
      </c>
      <c r="C220" s="68" t="s">
        <v>57</v>
      </c>
      <c r="D220" s="68" t="s">
        <v>7</v>
      </c>
      <c r="E220" s="69">
        <v>120</v>
      </c>
      <c r="F220" s="70" t="b">
        <v>1</v>
      </c>
      <c r="G220" s="62"/>
    </row>
    <row r="221" spans="1:7" ht="13.2">
      <c r="A221" s="62"/>
      <c r="B221" s="63">
        <v>46240</v>
      </c>
      <c r="C221" s="64" t="s">
        <v>99</v>
      </c>
      <c r="D221" s="64" t="s">
        <v>7</v>
      </c>
      <c r="E221" s="65">
        <v>80</v>
      </c>
      <c r="F221" s="66" t="b">
        <v>1</v>
      </c>
      <c r="G221" s="62"/>
    </row>
    <row r="222" spans="1:7" ht="13.2">
      <c r="A222" s="62"/>
      <c r="B222" s="67">
        <v>46240</v>
      </c>
      <c r="C222" s="68" t="s">
        <v>95</v>
      </c>
      <c r="D222" s="68" t="s">
        <v>7</v>
      </c>
      <c r="E222" s="69">
        <v>20</v>
      </c>
      <c r="F222" s="70" t="b">
        <v>1</v>
      </c>
      <c r="G222" s="62"/>
    </row>
    <row r="223" spans="1:7" ht="13.2">
      <c r="A223" s="62"/>
      <c r="B223" s="63">
        <v>46240</v>
      </c>
      <c r="C223" s="64" t="s">
        <v>128</v>
      </c>
      <c r="D223" s="64" t="s">
        <v>7</v>
      </c>
      <c r="E223" s="65">
        <v>80</v>
      </c>
      <c r="F223" s="66" t="b">
        <v>1</v>
      </c>
      <c r="G223" s="62"/>
    </row>
    <row r="224" spans="1:7" ht="13.2">
      <c r="A224" s="62"/>
      <c r="B224" s="67">
        <v>46240</v>
      </c>
      <c r="C224" s="68" t="s">
        <v>120</v>
      </c>
      <c r="D224" s="68" t="s">
        <v>7</v>
      </c>
      <c r="E224" s="69">
        <v>100</v>
      </c>
      <c r="F224" s="70" t="b">
        <v>1</v>
      </c>
      <c r="G224" s="62"/>
    </row>
    <row r="225" spans="1:7" ht="13.2">
      <c r="A225" s="62"/>
      <c r="B225" s="63">
        <v>46240</v>
      </c>
      <c r="C225" s="64" t="s">
        <v>134</v>
      </c>
      <c r="D225" s="64" t="s">
        <v>7</v>
      </c>
      <c r="E225" s="65">
        <v>20</v>
      </c>
      <c r="F225" s="66" t="b">
        <v>1</v>
      </c>
      <c r="G225" s="62"/>
    </row>
    <row r="226" spans="1:7" ht="13.2">
      <c r="A226" s="62"/>
      <c r="B226" s="67">
        <v>46240</v>
      </c>
      <c r="C226" s="68" t="s">
        <v>115</v>
      </c>
      <c r="D226" s="68" t="s">
        <v>7</v>
      </c>
      <c r="E226" s="69">
        <v>20</v>
      </c>
      <c r="F226" s="70" t="b">
        <v>1</v>
      </c>
      <c r="G226" s="62"/>
    </row>
    <row r="227" spans="1:7" ht="13.2">
      <c r="A227" s="62"/>
      <c r="B227" s="63">
        <v>46240</v>
      </c>
      <c r="C227" s="64" t="s">
        <v>101</v>
      </c>
      <c r="D227" s="64" t="s">
        <v>7</v>
      </c>
      <c r="E227" s="65">
        <v>20</v>
      </c>
      <c r="F227" s="66" t="b">
        <v>1</v>
      </c>
      <c r="G227" s="62"/>
    </row>
    <row r="228" spans="1:7" ht="13.2">
      <c r="A228" s="62"/>
      <c r="B228" s="78"/>
      <c r="C228" s="68"/>
      <c r="D228" s="68"/>
      <c r="E228" s="69"/>
      <c r="F228" s="70" t="b">
        <v>0</v>
      </c>
      <c r="G228" s="62"/>
    </row>
    <row r="229" spans="1:7" ht="13.2">
      <c r="A229" s="62"/>
      <c r="B229" s="79"/>
      <c r="C229" s="64"/>
      <c r="D229" s="64"/>
      <c r="E229" s="65"/>
      <c r="F229" s="66" t="b">
        <v>0</v>
      </c>
      <c r="G229" s="62"/>
    </row>
    <row r="230" spans="1:7" ht="13.2">
      <c r="A230" s="62"/>
      <c r="B230" s="78"/>
      <c r="C230" s="68"/>
      <c r="D230" s="68"/>
      <c r="E230" s="69"/>
      <c r="F230" s="70" t="b">
        <v>0</v>
      </c>
      <c r="G230" s="62"/>
    </row>
    <row r="231" spans="1:7" ht="13.2">
      <c r="A231" s="62"/>
      <c r="B231" s="80"/>
      <c r="C231" s="64"/>
      <c r="D231" s="64"/>
      <c r="E231" s="65"/>
      <c r="F231" s="66" t="b">
        <v>0</v>
      </c>
      <c r="G231" s="62"/>
    </row>
    <row r="232" spans="1:7" ht="13.2">
      <c r="A232" s="62"/>
      <c r="B232" s="81"/>
      <c r="C232" s="68"/>
      <c r="D232" s="68"/>
      <c r="E232" s="69"/>
      <c r="F232" s="70" t="b">
        <v>0</v>
      </c>
      <c r="G232" s="62"/>
    </row>
    <row r="233" spans="1:7" ht="13.2">
      <c r="A233" s="62"/>
      <c r="B233" s="80"/>
      <c r="C233" s="64"/>
      <c r="D233" s="64"/>
      <c r="E233" s="65"/>
      <c r="F233" s="66" t="b">
        <v>0</v>
      </c>
      <c r="G233" s="62"/>
    </row>
    <row r="234" spans="1:7" ht="13.2">
      <c r="A234" s="62"/>
      <c r="B234" s="81"/>
      <c r="C234" s="68"/>
      <c r="D234" s="68"/>
      <c r="E234" s="69"/>
      <c r="F234" s="70" t="b">
        <v>0</v>
      </c>
      <c r="G234" s="62"/>
    </row>
    <row r="235" spans="1:7" ht="13.2">
      <c r="A235" s="62"/>
      <c r="B235" s="80"/>
      <c r="C235" s="64"/>
      <c r="D235" s="64"/>
      <c r="E235" s="65"/>
      <c r="F235" s="66" t="b">
        <v>0</v>
      </c>
      <c r="G235" s="62"/>
    </row>
    <row r="236" spans="1:7" ht="13.2">
      <c r="A236" s="62"/>
      <c r="B236" s="81"/>
      <c r="C236" s="68"/>
      <c r="D236" s="68"/>
      <c r="E236" s="69"/>
      <c r="F236" s="70" t="b">
        <v>0</v>
      </c>
      <c r="G236" s="62"/>
    </row>
    <row r="237" spans="1:7" ht="13.2">
      <c r="A237" s="62"/>
      <c r="B237" s="80"/>
      <c r="C237" s="64"/>
      <c r="D237" s="64"/>
      <c r="E237" s="65"/>
      <c r="F237" s="66" t="b">
        <v>0</v>
      </c>
      <c r="G237" s="62"/>
    </row>
    <row r="238" spans="1:7" ht="13.2">
      <c r="A238" s="62"/>
      <c r="B238" s="81"/>
      <c r="C238" s="68"/>
      <c r="D238" s="68"/>
      <c r="E238" s="69"/>
      <c r="F238" s="70" t="b">
        <v>0</v>
      </c>
      <c r="G238" s="62"/>
    </row>
    <row r="239" spans="1:7" ht="13.2">
      <c r="A239" s="62"/>
      <c r="B239" s="80"/>
      <c r="C239" s="64"/>
      <c r="D239" s="64"/>
      <c r="E239" s="65"/>
      <c r="F239" s="66" t="b">
        <v>0</v>
      </c>
      <c r="G239" s="62"/>
    </row>
    <row r="240" spans="1:7" ht="13.2">
      <c r="A240" s="62"/>
      <c r="B240" s="81"/>
      <c r="C240" s="68"/>
      <c r="D240" s="68"/>
      <c r="E240" s="69"/>
      <c r="F240" s="70" t="b">
        <v>0</v>
      </c>
      <c r="G240" s="62"/>
    </row>
    <row r="241" spans="1:7" ht="13.2">
      <c r="A241" s="62"/>
      <c r="B241" s="80"/>
      <c r="C241" s="64"/>
      <c r="D241" s="64"/>
      <c r="E241" s="65"/>
      <c r="F241" s="66" t="b">
        <v>0</v>
      </c>
      <c r="G241" s="62"/>
    </row>
    <row r="242" spans="1:7" ht="13.2">
      <c r="A242" s="62"/>
      <c r="B242" s="81"/>
      <c r="C242" s="82"/>
      <c r="D242" s="68"/>
      <c r="E242" s="69"/>
      <c r="F242" s="70" t="b">
        <v>0</v>
      </c>
      <c r="G242" s="62"/>
    </row>
    <row r="243" spans="1:7" ht="13.2">
      <c r="A243" s="62"/>
      <c r="B243" s="80"/>
      <c r="C243" s="64"/>
      <c r="D243" s="64"/>
      <c r="E243" s="65"/>
      <c r="F243" s="66" t="b">
        <v>0</v>
      </c>
      <c r="G243" s="62"/>
    </row>
    <row r="244" spans="1:7" ht="13.2">
      <c r="A244" s="62"/>
      <c r="B244" s="81"/>
      <c r="C244" s="68"/>
      <c r="D244" s="68"/>
      <c r="E244" s="69"/>
      <c r="F244" s="70" t="b">
        <v>0</v>
      </c>
      <c r="G244" s="62"/>
    </row>
    <row r="245" spans="1:7" ht="13.2">
      <c r="A245" s="62"/>
      <c r="B245" s="80"/>
      <c r="C245" s="64"/>
      <c r="D245" s="64"/>
      <c r="E245" s="65"/>
      <c r="F245" s="66" t="b">
        <v>0</v>
      </c>
      <c r="G245" s="62"/>
    </row>
    <row r="246" spans="1:7" ht="13.2">
      <c r="A246" s="62"/>
      <c r="B246" s="81"/>
      <c r="C246" s="68"/>
      <c r="D246" s="68"/>
      <c r="E246" s="69"/>
      <c r="F246" s="70" t="b">
        <v>0</v>
      </c>
      <c r="G246" s="62"/>
    </row>
    <row r="247" spans="1:7" ht="13.2">
      <c r="A247" s="62"/>
      <c r="B247" s="80"/>
      <c r="C247" s="64"/>
      <c r="D247" s="64"/>
      <c r="E247" s="65"/>
      <c r="F247" s="66" t="b">
        <v>0</v>
      </c>
      <c r="G247" s="62"/>
    </row>
    <row r="248" spans="1:7" ht="13.2">
      <c r="A248" s="62"/>
      <c r="B248" s="81"/>
      <c r="C248" s="68"/>
      <c r="D248" s="68"/>
      <c r="E248" s="69"/>
      <c r="F248" s="70" t="b">
        <v>0</v>
      </c>
      <c r="G248" s="62"/>
    </row>
    <row r="249" spans="1:7" ht="13.2">
      <c r="A249" s="62"/>
      <c r="B249" s="80"/>
      <c r="C249" s="64"/>
      <c r="D249" s="64"/>
      <c r="E249" s="65"/>
      <c r="F249" s="66" t="b">
        <v>0</v>
      </c>
      <c r="G249" s="62"/>
    </row>
    <row r="250" spans="1:7" ht="13.2">
      <c r="A250" s="62"/>
      <c r="B250" s="81"/>
      <c r="C250" s="68"/>
      <c r="D250" s="68"/>
      <c r="E250" s="69"/>
      <c r="F250" s="70" t="b">
        <v>0</v>
      </c>
      <c r="G250" s="62"/>
    </row>
    <row r="251" spans="1:7" ht="13.2">
      <c r="A251" s="62"/>
      <c r="B251" s="80"/>
      <c r="C251" s="64"/>
      <c r="D251" s="64"/>
      <c r="E251" s="65"/>
      <c r="F251" s="66" t="b">
        <v>0</v>
      </c>
      <c r="G251" s="62"/>
    </row>
    <row r="252" spans="1:7" ht="13.2">
      <c r="A252" s="62"/>
      <c r="B252" s="81"/>
      <c r="C252" s="68"/>
      <c r="D252" s="68"/>
      <c r="E252" s="69"/>
      <c r="F252" s="70" t="b">
        <v>0</v>
      </c>
      <c r="G252" s="62"/>
    </row>
    <row r="253" spans="1:7" ht="13.2">
      <c r="A253" s="62"/>
      <c r="B253" s="80"/>
      <c r="C253" s="64"/>
      <c r="D253" s="64"/>
      <c r="E253" s="65"/>
      <c r="F253" s="66" t="b">
        <v>0</v>
      </c>
      <c r="G253" s="62"/>
    </row>
    <row r="254" spans="1:7" ht="13.2">
      <c r="A254" s="62"/>
      <c r="B254" s="83"/>
      <c r="C254" s="68"/>
      <c r="D254" s="68"/>
      <c r="E254" s="69"/>
      <c r="F254" s="70" t="b">
        <v>0</v>
      </c>
      <c r="G254" s="62"/>
    </row>
    <row r="255" spans="1:7" ht="13.2">
      <c r="A255" s="62"/>
      <c r="B255" s="63"/>
      <c r="C255" s="84"/>
      <c r="D255" s="84"/>
      <c r="E255" s="85"/>
      <c r="F255" s="66" t="b">
        <v>0</v>
      </c>
      <c r="G255" s="62"/>
    </row>
    <row r="256" spans="1:7" ht="13.2">
      <c r="A256" s="62"/>
      <c r="B256" s="67"/>
      <c r="C256" s="86"/>
      <c r="D256" s="86"/>
      <c r="E256" s="87"/>
      <c r="F256" s="70" t="b">
        <v>0</v>
      </c>
      <c r="G256" s="62"/>
    </row>
    <row r="257" spans="1:7" ht="13.2">
      <c r="A257" s="62"/>
      <c r="B257" s="63"/>
      <c r="C257" s="84"/>
      <c r="D257" s="84"/>
      <c r="E257" s="85"/>
      <c r="F257" s="66" t="b">
        <v>0</v>
      </c>
      <c r="G257" s="62"/>
    </row>
    <row r="258" spans="1:7" ht="13.2">
      <c r="A258" s="62"/>
      <c r="B258" s="67"/>
      <c r="C258" s="86"/>
      <c r="D258" s="86"/>
      <c r="E258" s="87"/>
      <c r="F258" s="70" t="b">
        <v>0</v>
      </c>
      <c r="G258" s="62"/>
    </row>
    <row r="259" spans="1:7" ht="13.2">
      <c r="A259" s="62"/>
      <c r="B259" s="63"/>
      <c r="C259" s="84"/>
      <c r="D259" s="84"/>
      <c r="E259" s="85"/>
      <c r="F259" s="66" t="b">
        <v>0</v>
      </c>
      <c r="G259" s="62"/>
    </row>
    <row r="260" spans="1:7" ht="13.2">
      <c r="A260" s="62"/>
      <c r="B260" s="67"/>
      <c r="C260" s="86"/>
      <c r="D260" s="86"/>
      <c r="E260" s="87"/>
      <c r="F260" s="70" t="b">
        <v>0</v>
      </c>
      <c r="G260" s="62"/>
    </row>
    <row r="261" spans="1:7" ht="13.2">
      <c r="A261" s="62"/>
      <c r="B261" s="63"/>
      <c r="C261" s="84"/>
      <c r="D261" s="84"/>
      <c r="E261" s="85"/>
      <c r="F261" s="66" t="b">
        <v>0</v>
      </c>
      <c r="G261" s="62"/>
    </row>
    <row r="262" spans="1:7" ht="13.2">
      <c r="A262" s="62"/>
      <c r="B262" s="67"/>
      <c r="C262" s="86"/>
      <c r="D262" s="86"/>
      <c r="E262" s="87"/>
      <c r="F262" s="70" t="b">
        <v>0</v>
      </c>
      <c r="G262" s="62"/>
    </row>
    <row r="263" spans="1:7" ht="13.2">
      <c r="A263" s="62"/>
      <c r="B263" s="63"/>
      <c r="C263" s="84"/>
      <c r="D263" s="84"/>
      <c r="E263" s="85"/>
      <c r="F263" s="66" t="b">
        <v>0</v>
      </c>
      <c r="G263" s="62"/>
    </row>
    <row r="264" spans="1:7" ht="13.2">
      <c r="A264" s="62"/>
      <c r="B264" s="67"/>
      <c r="C264" s="86"/>
      <c r="D264" s="86"/>
      <c r="E264" s="87"/>
      <c r="F264" s="70" t="b">
        <v>0</v>
      </c>
      <c r="G264" s="62"/>
    </row>
    <row r="265" spans="1:7" ht="13.2">
      <c r="A265" s="62"/>
      <c r="B265" s="63"/>
      <c r="C265" s="84"/>
      <c r="D265" s="84"/>
      <c r="E265" s="85"/>
      <c r="F265" s="66" t="b">
        <v>0</v>
      </c>
      <c r="G265" s="62"/>
    </row>
    <row r="266" spans="1:7" ht="13.2">
      <c r="A266" s="62"/>
      <c r="B266" s="67"/>
      <c r="C266" s="86"/>
      <c r="D266" s="86"/>
      <c r="E266" s="87"/>
      <c r="F266" s="70" t="b">
        <v>0</v>
      </c>
      <c r="G266" s="62"/>
    </row>
    <row r="267" spans="1:7" ht="13.2">
      <c r="A267" s="62"/>
      <c r="B267" s="63"/>
      <c r="C267" s="84"/>
      <c r="D267" s="84"/>
      <c r="E267" s="85"/>
      <c r="F267" s="66" t="b">
        <v>0</v>
      </c>
      <c r="G267" s="62"/>
    </row>
    <row r="268" spans="1:7" ht="13.2">
      <c r="A268" s="62"/>
      <c r="B268" s="67"/>
      <c r="C268" s="86"/>
      <c r="D268" s="86"/>
      <c r="E268" s="87"/>
      <c r="F268" s="70" t="b">
        <v>0</v>
      </c>
      <c r="G268" s="62"/>
    </row>
    <row r="269" spans="1:7" ht="13.2">
      <c r="A269" s="62"/>
      <c r="B269" s="88"/>
      <c r="C269" s="84"/>
      <c r="D269" s="84"/>
      <c r="E269" s="85"/>
      <c r="F269" s="66" t="b">
        <v>0</v>
      </c>
      <c r="G269" s="62"/>
    </row>
    <row r="270" spans="1:7" ht="13.2">
      <c r="A270" s="62"/>
      <c r="B270" s="89"/>
      <c r="C270" s="86"/>
      <c r="D270" s="86"/>
      <c r="E270" s="87"/>
      <c r="F270" s="70" t="b">
        <v>0</v>
      </c>
      <c r="G270" s="62"/>
    </row>
    <row r="271" spans="1:7" ht="13.2">
      <c r="A271" s="62"/>
      <c r="B271" s="88"/>
      <c r="C271" s="84"/>
      <c r="D271" s="84"/>
      <c r="E271" s="85"/>
      <c r="F271" s="66" t="b">
        <v>0</v>
      </c>
      <c r="G271" s="62"/>
    </row>
    <row r="272" spans="1:7" ht="13.2">
      <c r="A272" s="62"/>
      <c r="B272" s="89"/>
      <c r="C272" s="86"/>
      <c r="D272" s="86"/>
      <c r="E272" s="87"/>
      <c r="F272" s="70" t="b">
        <v>0</v>
      </c>
      <c r="G272" s="62"/>
    </row>
    <row r="273" spans="1:7" ht="13.2">
      <c r="A273" s="62"/>
      <c r="B273" s="88"/>
      <c r="C273" s="84"/>
      <c r="D273" s="84"/>
      <c r="E273" s="85"/>
      <c r="F273" s="66" t="b">
        <v>0</v>
      </c>
      <c r="G273" s="62"/>
    </row>
    <row r="274" spans="1:7" ht="13.2">
      <c r="A274" s="62"/>
      <c r="B274" s="89"/>
      <c r="C274" s="86"/>
      <c r="D274" s="86"/>
      <c r="E274" s="87"/>
      <c r="F274" s="70" t="b">
        <v>0</v>
      </c>
      <c r="G274" s="62"/>
    </row>
    <row r="275" spans="1:7" ht="13.2">
      <c r="A275" s="62"/>
      <c r="B275" s="88"/>
      <c r="C275" s="84"/>
      <c r="D275" s="84"/>
      <c r="E275" s="85"/>
      <c r="F275" s="66" t="b">
        <v>0</v>
      </c>
      <c r="G275" s="62"/>
    </row>
    <row r="276" spans="1:7" ht="13.2">
      <c r="A276" s="62"/>
      <c r="B276" s="89"/>
      <c r="C276" s="86"/>
      <c r="D276" s="86"/>
      <c r="E276" s="87"/>
      <c r="F276" s="70" t="b">
        <v>0</v>
      </c>
      <c r="G276" s="62"/>
    </row>
    <row r="277" spans="1:7" ht="13.2">
      <c r="A277" s="62"/>
      <c r="B277" s="88"/>
      <c r="C277" s="84"/>
      <c r="D277" s="84"/>
      <c r="E277" s="85"/>
      <c r="F277" s="66" t="b">
        <v>0</v>
      </c>
      <c r="G277" s="62"/>
    </row>
    <row r="278" spans="1:7" ht="13.2">
      <c r="A278" s="62"/>
      <c r="B278" s="89"/>
      <c r="C278" s="86"/>
      <c r="D278" s="86"/>
      <c r="E278" s="87"/>
      <c r="F278" s="70" t="b">
        <v>0</v>
      </c>
      <c r="G278" s="62"/>
    </row>
    <row r="279" spans="1:7" ht="13.2">
      <c r="A279" s="62"/>
      <c r="B279" s="88"/>
      <c r="C279" s="84"/>
      <c r="D279" s="84"/>
      <c r="E279" s="85"/>
      <c r="F279" s="66" t="b">
        <v>0</v>
      </c>
      <c r="G279" s="62"/>
    </row>
    <row r="280" spans="1:7" ht="13.2">
      <c r="A280" s="62"/>
      <c r="B280" s="89"/>
      <c r="C280" s="86"/>
      <c r="D280" s="86"/>
      <c r="E280" s="87"/>
      <c r="F280" s="70" t="b">
        <v>0</v>
      </c>
      <c r="G280" s="62"/>
    </row>
    <row r="281" spans="1:7" ht="13.2">
      <c r="A281" s="62"/>
      <c r="B281" s="90"/>
      <c r="C281" s="84"/>
      <c r="D281" s="84"/>
      <c r="E281" s="91"/>
      <c r="F281" s="66" t="b">
        <v>0</v>
      </c>
      <c r="G281" s="62"/>
    </row>
    <row r="282" spans="1:7" ht="13.2">
      <c r="A282" s="62"/>
      <c r="B282" s="83"/>
      <c r="C282" s="86"/>
      <c r="D282" s="86"/>
      <c r="E282" s="87"/>
      <c r="F282" s="70" t="b">
        <v>0</v>
      </c>
      <c r="G282" s="62"/>
    </row>
    <row r="283" spans="1:7" ht="13.2">
      <c r="A283" s="62"/>
      <c r="B283" s="92"/>
      <c r="C283" s="84"/>
      <c r="D283" s="84"/>
      <c r="E283" s="85"/>
      <c r="F283" s="66" t="b">
        <v>0</v>
      </c>
      <c r="G283" s="62"/>
    </row>
    <row r="284" spans="1:7" ht="13.2">
      <c r="A284" s="62"/>
      <c r="B284" s="83"/>
      <c r="C284" s="86"/>
      <c r="D284" s="86"/>
      <c r="E284" s="87"/>
      <c r="F284" s="70" t="b">
        <v>0</v>
      </c>
      <c r="G284" s="62"/>
    </row>
    <row r="285" spans="1:7" ht="13.2">
      <c r="A285" s="62"/>
      <c r="B285" s="92"/>
      <c r="C285" s="84"/>
      <c r="D285" s="84"/>
      <c r="E285" s="85"/>
      <c r="F285" s="66" t="b">
        <v>0</v>
      </c>
      <c r="G285" s="62"/>
    </row>
    <row r="286" spans="1:7" ht="13.2">
      <c r="A286" s="62"/>
      <c r="B286" s="83"/>
      <c r="C286" s="86"/>
      <c r="D286" s="86"/>
      <c r="E286" s="87"/>
      <c r="F286" s="70" t="b">
        <v>0</v>
      </c>
      <c r="G286" s="62"/>
    </row>
    <row r="287" spans="1:7" ht="13.2">
      <c r="A287" s="62"/>
      <c r="B287" s="92"/>
      <c r="C287" s="84"/>
      <c r="D287" s="84"/>
      <c r="E287" s="85"/>
      <c r="F287" s="66" t="b">
        <v>0</v>
      </c>
      <c r="G287" s="62"/>
    </row>
    <row r="288" spans="1:7" ht="13.2">
      <c r="A288" s="62"/>
      <c r="B288" s="83"/>
      <c r="C288" s="86"/>
      <c r="D288" s="86"/>
      <c r="E288" s="87"/>
      <c r="F288" s="70" t="b">
        <v>0</v>
      </c>
      <c r="G288" s="62"/>
    </row>
    <row r="289" spans="1:7" ht="13.2">
      <c r="A289" s="62"/>
      <c r="B289" s="92"/>
      <c r="C289" s="84"/>
      <c r="D289" s="84"/>
      <c r="E289" s="85"/>
      <c r="F289" s="66" t="b">
        <v>0</v>
      </c>
      <c r="G289" s="62"/>
    </row>
    <row r="290" spans="1:7" ht="13.2">
      <c r="A290" s="62"/>
      <c r="B290" s="83"/>
      <c r="C290" s="86"/>
      <c r="D290" s="86"/>
      <c r="E290" s="87"/>
      <c r="F290" s="70" t="b">
        <v>0</v>
      </c>
      <c r="G290" s="62"/>
    </row>
    <row r="291" spans="1:7" ht="13.2">
      <c r="A291" s="62"/>
      <c r="B291" s="92"/>
      <c r="C291" s="84"/>
      <c r="D291" s="84"/>
      <c r="E291" s="85"/>
      <c r="F291" s="66" t="b">
        <v>0</v>
      </c>
      <c r="G291" s="62"/>
    </row>
    <row r="292" spans="1:7" ht="13.2">
      <c r="A292" s="62"/>
      <c r="B292" s="83"/>
      <c r="C292" s="86"/>
      <c r="D292" s="86"/>
      <c r="E292" s="87"/>
      <c r="F292" s="70" t="b">
        <v>0</v>
      </c>
      <c r="G292" s="62"/>
    </row>
    <row r="293" spans="1:7" ht="13.2">
      <c r="A293" s="62"/>
      <c r="B293" s="92"/>
      <c r="C293" s="84"/>
      <c r="D293" s="84"/>
      <c r="E293" s="85"/>
      <c r="F293" s="66" t="b">
        <v>0</v>
      </c>
      <c r="G293" s="62"/>
    </row>
    <row r="294" spans="1:7" ht="13.2">
      <c r="A294" s="62"/>
      <c r="B294" s="83"/>
      <c r="C294" s="86"/>
      <c r="D294" s="86"/>
      <c r="E294" s="87"/>
      <c r="F294" s="70" t="b">
        <v>0</v>
      </c>
      <c r="G294" s="62"/>
    </row>
    <row r="295" spans="1:7" ht="13.2">
      <c r="A295" s="62"/>
      <c r="B295" s="92"/>
      <c r="C295" s="84"/>
      <c r="D295" s="84"/>
      <c r="E295" s="85"/>
      <c r="F295" s="66" t="b">
        <v>0</v>
      </c>
      <c r="G295" s="62"/>
    </row>
    <row r="296" spans="1:7" ht="13.2">
      <c r="A296" s="62"/>
      <c r="B296" s="83"/>
      <c r="C296" s="86"/>
      <c r="D296" s="86"/>
      <c r="E296" s="87"/>
      <c r="F296" s="70" t="b">
        <v>0</v>
      </c>
      <c r="G296" s="62"/>
    </row>
    <row r="297" spans="1:7" ht="13.2">
      <c r="A297" s="62"/>
      <c r="B297" s="92"/>
      <c r="C297" s="84"/>
      <c r="D297" s="84"/>
      <c r="E297" s="85"/>
      <c r="F297" s="66" t="b">
        <v>0</v>
      </c>
      <c r="G297" s="62"/>
    </row>
    <row r="298" spans="1:7" ht="13.2">
      <c r="A298" s="62"/>
      <c r="B298" s="83"/>
      <c r="C298" s="86"/>
      <c r="D298" s="86"/>
      <c r="E298" s="87"/>
      <c r="F298" s="70" t="b">
        <v>0</v>
      </c>
      <c r="G298" s="62"/>
    </row>
    <row r="299" spans="1:7" ht="13.2">
      <c r="A299" s="62"/>
      <c r="B299" s="92"/>
      <c r="C299" s="84"/>
      <c r="D299" s="84"/>
      <c r="E299" s="85"/>
      <c r="F299" s="66" t="b">
        <v>0</v>
      </c>
      <c r="G299" s="62"/>
    </row>
    <row r="300" spans="1:7" ht="13.2">
      <c r="A300" s="62"/>
      <c r="B300" s="83"/>
      <c r="C300" s="86"/>
      <c r="D300" s="86"/>
      <c r="E300" s="87"/>
      <c r="F300" s="70" t="b">
        <v>0</v>
      </c>
      <c r="G300" s="62"/>
    </row>
    <row r="301" spans="1:7" ht="13.2">
      <c r="A301" s="62"/>
      <c r="B301" s="92"/>
      <c r="C301" s="84"/>
      <c r="D301" s="84"/>
      <c r="E301" s="85"/>
      <c r="F301" s="66" t="b">
        <v>0</v>
      </c>
      <c r="G301" s="62"/>
    </row>
    <row r="302" spans="1:7" ht="13.2">
      <c r="A302" s="62"/>
      <c r="B302" s="83"/>
      <c r="C302" s="86"/>
      <c r="D302" s="86"/>
      <c r="E302" s="87"/>
      <c r="F302" s="70" t="b">
        <v>0</v>
      </c>
      <c r="G302" s="62"/>
    </row>
    <row r="303" spans="1:7" ht="13.2">
      <c r="A303" s="62"/>
      <c r="B303" s="92"/>
      <c r="C303" s="84"/>
      <c r="D303" s="84"/>
      <c r="E303" s="85"/>
      <c r="F303" s="66" t="b">
        <v>0</v>
      </c>
      <c r="G303" s="62"/>
    </row>
    <row r="304" spans="1:7" ht="13.2">
      <c r="A304" s="62"/>
      <c r="B304" s="94"/>
      <c r="C304" s="86"/>
      <c r="D304" s="86"/>
      <c r="E304" s="87"/>
      <c r="F304" s="70" t="b">
        <v>0</v>
      </c>
      <c r="G304" s="62"/>
    </row>
    <row r="305" spans="1:7" ht="13.2">
      <c r="A305" s="62"/>
      <c r="B305" s="95"/>
      <c r="C305" s="84"/>
      <c r="D305" s="84"/>
      <c r="E305" s="85"/>
      <c r="F305" s="66" t="b">
        <v>0</v>
      </c>
      <c r="G305" s="62"/>
    </row>
    <row r="306" spans="1:7" ht="13.2">
      <c r="A306" s="62"/>
      <c r="B306" s="94"/>
      <c r="C306" s="86"/>
      <c r="D306" s="86"/>
      <c r="E306" s="87"/>
      <c r="F306" s="70" t="b">
        <v>0</v>
      </c>
      <c r="G306" s="62"/>
    </row>
    <row r="307" spans="1:7" ht="13.2">
      <c r="A307" s="62"/>
      <c r="B307" s="95"/>
      <c r="C307" s="84"/>
      <c r="D307" s="84"/>
      <c r="E307" s="91"/>
      <c r="F307" s="66" t="b">
        <v>0</v>
      </c>
      <c r="G307" s="62"/>
    </row>
    <row r="308" spans="1:7" ht="13.2">
      <c r="A308" s="62"/>
      <c r="B308" s="94"/>
      <c r="C308" s="86"/>
      <c r="D308" s="86"/>
      <c r="E308" s="87"/>
      <c r="F308" s="70" t="b">
        <v>0</v>
      </c>
      <c r="G308" s="62"/>
    </row>
    <row r="309" spans="1:7" ht="13.2">
      <c r="A309" s="62"/>
      <c r="B309" s="79"/>
      <c r="C309" s="84"/>
      <c r="D309" s="64"/>
      <c r="E309" s="85"/>
      <c r="F309" s="66" t="b">
        <v>0</v>
      </c>
      <c r="G309" s="62"/>
    </row>
    <row r="310" spans="1:7" ht="13.2">
      <c r="A310" s="62"/>
      <c r="B310" s="96"/>
      <c r="C310" s="86"/>
      <c r="D310" s="68"/>
      <c r="E310" s="87"/>
      <c r="F310" s="70" t="b">
        <v>0</v>
      </c>
      <c r="G310" s="62"/>
    </row>
    <row r="311" spans="1:7" ht="13.2">
      <c r="A311" s="62"/>
      <c r="B311" s="90"/>
      <c r="C311" s="84"/>
      <c r="D311" s="64"/>
      <c r="E311" s="85"/>
      <c r="F311" s="66" t="b">
        <v>0</v>
      </c>
      <c r="G311" s="62"/>
    </row>
    <row r="312" spans="1:7" ht="13.2">
      <c r="A312" s="62"/>
      <c r="B312" s="96"/>
      <c r="C312" s="86"/>
      <c r="D312" s="68"/>
      <c r="E312" s="87"/>
      <c r="F312" s="70" t="b">
        <v>0</v>
      </c>
      <c r="G312" s="62"/>
    </row>
    <row r="313" spans="1:7" ht="13.2">
      <c r="A313" s="62"/>
      <c r="B313" s="90"/>
      <c r="C313" s="84"/>
      <c r="D313" s="64"/>
      <c r="E313" s="85"/>
      <c r="F313" s="66" t="b">
        <v>0</v>
      </c>
      <c r="G313" s="62"/>
    </row>
    <row r="314" spans="1:7" ht="13.2">
      <c r="A314" s="62"/>
      <c r="B314" s="96"/>
      <c r="C314" s="86"/>
      <c r="D314" s="68"/>
      <c r="E314" s="87"/>
      <c r="F314" s="70" t="b">
        <v>0</v>
      </c>
      <c r="G314" s="62"/>
    </row>
    <row r="315" spans="1:7" ht="13.2">
      <c r="A315" s="62"/>
      <c r="B315" s="90"/>
      <c r="C315" s="84"/>
      <c r="D315" s="64"/>
      <c r="E315" s="85"/>
      <c r="F315" s="66" t="b">
        <v>0</v>
      </c>
      <c r="G315" s="62"/>
    </row>
    <row r="316" spans="1:7" ht="13.2">
      <c r="A316" s="62"/>
      <c r="B316" s="96"/>
      <c r="C316" s="86"/>
      <c r="D316" s="68"/>
      <c r="E316" s="87"/>
      <c r="F316" s="70" t="b">
        <v>0</v>
      </c>
      <c r="G316" s="62"/>
    </row>
    <row r="317" spans="1:7" ht="13.2">
      <c r="A317" s="62"/>
      <c r="B317" s="90"/>
      <c r="C317" s="84"/>
      <c r="D317" s="64"/>
      <c r="E317" s="85"/>
      <c r="F317" s="66" t="b">
        <v>0</v>
      </c>
      <c r="G317" s="62"/>
    </row>
    <row r="318" spans="1:7" ht="13.2">
      <c r="A318" s="62"/>
      <c r="B318" s="96"/>
      <c r="C318" s="86"/>
      <c r="D318" s="68"/>
      <c r="E318" s="87"/>
      <c r="F318" s="70" t="b">
        <v>0</v>
      </c>
      <c r="G318" s="62"/>
    </row>
    <row r="319" spans="1:7" ht="13.2">
      <c r="A319" s="62"/>
      <c r="B319" s="90"/>
      <c r="C319" s="84"/>
      <c r="D319" s="64"/>
      <c r="E319" s="85"/>
      <c r="F319" s="66" t="b">
        <v>0</v>
      </c>
      <c r="G319" s="62"/>
    </row>
    <row r="320" spans="1:7" ht="13.2">
      <c r="A320" s="62"/>
      <c r="B320" s="96"/>
      <c r="C320" s="86"/>
      <c r="D320" s="68"/>
      <c r="E320" s="87"/>
      <c r="F320" s="70" t="b">
        <v>0</v>
      </c>
      <c r="G320" s="62"/>
    </row>
    <row r="321" spans="1:7" ht="13.2">
      <c r="A321" s="62"/>
      <c r="B321" s="90"/>
      <c r="C321" s="84"/>
      <c r="D321" s="64"/>
      <c r="E321" s="85"/>
      <c r="F321" s="66" t="b">
        <v>0</v>
      </c>
      <c r="G321" s="62"/>
    </row>
    <row r="322" spans="1:7" ht="13.2">
      <c r="A322" s="62"/>
      <c r="B322" s="96"/>
      <c r="C322" s="86"/>
      <c r="D322" s="68"/>
      <c r="E322" s="87"/>
      <c r="F322" s="70" t="b">
        <v>0</v>
      </c>
      <c r="G322" s="62"/>
    </row>
    <row r="323" spans="1:7" ht="13.2">
      <c r="A323" s="62"/>
      <c r="B323" s="90"/>
      <c r="C323" s="84"/>
      <c r="D323" s="64"/>
      <c r="E323" s="85"/>
      <c r="F323" s="66" t="b">
        <v>0</v>
      </c>
      <c r="G323" s="62"/>
    </row>
    <row r="324" spans="1:7" ht="13.2">
      <c r="A324" s="62"/>
      <c r="B324" s="96"/>
      <c r="C324" s="86"/>
      <c r="D324" s="68"/>
      <c r="E324" s="87"/>
      <c r="F324" s="70" t="b">
        <v>0</v>
      </c>
      <c r="G324" s="62"/>
    </row>
    <row r="325" spans="1:7" ht="13.2">
      <c r="A325" s="62"/>
      <c r="B325" s="90"/>
      <c r="C325" s="84"/>
      <c r="D325" s="64"/>
      <c r="E325" s="85"/>
      <c r="F325" s="66" t="b">
        <v>0</v>
      </c>
      <c r="G325" s="62"/>
    </row>
    <row r="326" spans="1:7" ht="13.2">
      <c r="A326" s="62"/>
      <c r="B326" s="96"/>
      <c r="C326" s="86"/>
      <c r="D326" s="68"/>
      <c r="E326" s="87"/>
      <c r="F326" s="70" t="b">
        <v>0</v>
      </c>
      <c r="G326" s="62"/>
    </row>
    <row r="327" spans="1:7" ht="13.2">
      <c r="A327" s="62"/>
      <c r="B327" s="90"/>
      <c r="C327" s="84"/>
      <c r="D327" s="64"/>
      <c r="E327" s="85"/>
      <c r="F327" s="66" t="b">
        <v>0</v>
      </c>
      <c r="G327" s="62"/>
    </row>
    <row r="328" spans="1:7" ht="13.2">
      <c r="A328" s="62"/>
      <c r="B328" s="96"/>
      <c r="C328" s="86"/>
      <c r="D328" s="68"/>
      <c r="E328" s="87"/>
      <c r="F328" s="70" t="b">
        <v>0</v>
      </c>
      <c r="G328" s="62"/>
    </row>
    <row r="329" spans="1:7" ht="13.2">
      <c r="A329" s="62"/>
      <c r="B329" s="90"/>
      <c r="C329" s="84"/>
      <c r="D329" s="64"/>
      <c r="E329" s="85"/>
      <c r="F329" s="66" t="b">
        <v>0</v>
      </c>
      <c r="G329" s="62"/>
    </row>
    <row r="330" spans="1:7" ht="13.2">
      <c r="A330" s="62"/>
      <c r="B330" s="96"/>
      <c r="C330" s="70"/>
      <c r="D330" s="70"/>
      <c r="E330" s="98"/>
      <c r="F330" s="70" t="b">
        <v>0</v>
      </c>
      <c r="G330" s="62"/>
    </row>
    <row r="331" spans="1:7" ht="13.2">
      <c r="A331" s="62"/>
      <c r="B331" s="90"/>
      <c r="C331" s="66"/>
      <c r="D331" s="66"/>
      <c r="E331" s="99"/>
      <c r="F331" s="66" t="b">
        <v>0</v>
      </c>
      <c r="G331" s="62"/>
    </row>
    <row r="332" spans="1:7" ht="13.2">
      <c r="A332" s="62"/>
      <c r="B332" s="96"/>
      <c r="C332" s="70"/>
      <c r="D332" s="70"/>
      <c r="E332" s="98"/>
      <c r="F332" s="70" t="b">
        <v>0</v>
      </c>
      <c r="G332" s="62"/>
    </row>
    <row r="333" spans="1:7" ht="13.2">
      <c r="A333" s="62"/>
      <c r="B333" s="90"/>
      <c r="C333" s="66"/>
      <c r="D333" s="66"/>
      <c r="E333" s="99"/>
      <c r="F333" s="66" t="b">
        <v>0</v>
      </c>
      <c r="G333" s="62"/>
    </row>
    <row r="334" spans="1:7" ht="13.2">
      <c r="A334" s="62"/>
      <c r="B334" s="96"/>
      <c r="C334" s="70"/>
      <c r="D334" s="70"/>
      <c r="E334" s="98"/>
      <c r="F334" s="70" t="b">
        <v>0</v>
      </c>
      <c r="G334" s="62"/>
    </row>
    <row r="335" spans="1:7" ht="13.2">
      <c r="A335" s="62"/>
      <c r="B335" s="90"/>
      <c r="C335" s="66"/>
      <c r="D335" s="66"/>
      <c r="E335" s="99"/>
      <c r="F335" s="66" t="b">
        <v>0</v>
      </c>
      <c r="G335" s="62"/>
    </row>
    <row r="336" spans="1:7" ht="13.2">
      <c r="A336" s="62"/>
      <c r="B336" s="96"/>
      <c r="C336" s="70"/>
      <c r="D336" s="70"/>
      <c r="E336" s="98"/>
      <c r="F336" s="70" t="b">
        <v>0</v>
      </c>
      <c r="G336" s="62"/>
    </row>
    <row r="337" spans="1:7" ht="13.2">
      <c r="A337" s="62"/>
      <c r="B337" s="90"/>
      <c r="C337" s="66"/>
      <c r="D337" s="66"/>
      <c r="E337" s="99"/>
      <c r="F337" s="66" t="b">
        <v>0</v>
      </c>
      <c r="G337" s="62"/>
    </row>
    <row r="338" spans="1:7" ht="13.2">
      <c r="A338" s="62"/>
      <c r="B338" s="96"/>
      <c r="C338" s="70"/>
      <c r="D338" s="70"/>
      <c r="E338" s="98"/>
      <c r="F338" s="70" t="b">
        <v>0</v>
      </c>
      <c r="G338" s="62"/>
    </row>
    <row r="339" spans="1:7" ht="13.2">
      <c r="A339" s="62"/>
      <c r="B339" s="90"/>
      <c r="C339" s="66"/>
      <c r="D339" s="66"/>
      <c r="E339" s="99"/>
      <c r="F339" s="66" t="b">
        <v>0</v>
      </c>
      <c r="G339" s="62"/>
    </row>
    <row r="340" spans="1:7" ht="13.2">
      <c r="A340" s="62"/>
      <c r="B340" s="96"/>
      <c r="C340" s="70"/>
      <c r="D340" s="70"/>
      <c r="E340" s="98"/>
      <c r="F340" s="70" t="b">
        <v>0</v>
      </c>
      <c r="G340" s="62"/>
    </row>
    <row r="341" spans="1:7" ht="13.2">
      <c r="A341" s="62"/>
      <c r="B341" s="90"/>
      <c r="C341" s="66"/>
      <c r="D341" s="66"/>
      <c r="E341" s="99"/>
      <c r="F341" s="66" t="b">
        <v>0</v>
      </c>
      <c r="G341" s="62"/>
    </row>
    <row r="342" spans="1:7" ht="13.2">
      <c r="A342" s="62"/>
      <c r="B342" s="96"/>
      <c r="C342" s="70"/>
      <c r="D342" s="70"/>
      <c r="E342" s="98"/>
      <c r="F342" s="70" t="b">
        <v>0</v>
      </c>
      <c r="G342" s="62"/>
    </row>
    <row r="343" spans="1:7" ht="13.2">
      <c r="A343" s="62"/>
      <c r="B343" s="90"/>
      <c r="C343" s="66"/>
      <c r="D343" s="66"/>
      <c r="E343" s="99"/>
      <c r="F343" s="66" t="b">
        <v>0</v>
      </c>
      <c r="G343" s="62"/>
    </row>
    <row r="344" spans="1:7" ht="13.2">
      <c r="A344" s="62"/>
      <c r="B344" s="96"/>
      <c r="C344" s="70"/>
      <c r="D344" s="70"/>
      <c r="E344" s="98"/>
      <c r="F344" s="70" t="b">
        <v>0</v>
      </c>
      <c r="G344" s="62"/>
    </row>
    <row r="345" spans="1:7" ht="13.2">
      <c r="A345" s="62"/>
      <c r="B345" s="90"/>
      <c r="C345" s="66"/>
      <c r="D345" s="66"/>
      <c r="E345" s="99"/>
      <c r="F345" s="66" t="b">
        <v>0</v>
      </c>
      <c r="G345" s="62"/>
    </row>
    <row r="346" spans="1:7" ht="13.2">
      <c r="A346" s="62"/>
      <c r="B346" s="96"/>
      <c r="C346" s="70"/>
      <c r="D346" s="70"/>
      <c r="E346" s="98"/>
      <c r="F346" s="70" t="b">
        <v>0</v>
      </c>
      <c r="G346" s="62"/>
    </row>
    <row r="347" spans="1:7" ht="13.2">
      <c r="A347" s="62"/>
      <c r="B347" s="90"/>
      <c r="C347" s="66"/>
      <c r="D347" s="66"/>
      <c r="E347" s="99"/>
      <c r="F347" s="66" t="b">
        <v>0</v>
      </c>
      <c r="G347" s="62"/>
    </row>
    <row r="348" spans="1:7" ht="13.2">
      <c r="A348" s="62"/>
      <c r="B348" s="96"/>
      <c r="C348" s="70"/>
      <c r="D348" s="70"/>
      <c r="E348" s="98"/>
      <c r="F348" s="70" t="b">
        <v>0</v>
      </c>
      <c r="G348" s="62"/>
    </row>
    <row r="349" spans="1:7" ht="13.2">
      <c r="A349" s="62"/>
      <c r="B349" s="90"/>
      <c r="C349" s="66"/>
      <c r="D349" s="66"/>
      <c r="E349" s="99"/>
      <c r="F349" s="66" t="b">
        <v>0</v>
      </c>
      <c r="G349" s="62"/>
    </row>
    <row r="350" spans="1:7" ht="13.2">
      <c r="A350" s="62"/>
      <c r="B350" s="96"/>
      <c r="C350" s="70"/>
      <c r="D350" s="70"/>
      <c r="E350" s="98"/>
      <c r="F350" s="70" t="b">
        <v>0</v>
      </c>
      <c r="G350" s="62"/>
    </row>
    <row r="351" spans="1:7" ht="13.2">
      <c r="A351" s="62"/>
      <c r="B351" s="90"/>
      <c r="C351" s="66"/>
      <c r="D351" s="66"/>
      <c r="E351" s="99"/>
      <c r="F351" s="66" t="b">
        <v>0</v>
      </c>
      <c r="G351" s="62"/>
    </row>
    <row r="352" spans="1:7" ht="13.2">
      <c r="A352" s="62"/>
      <c r="B352" s="96"/>
      <c r="C352" s="70"/>
      <c r="D352" s="70"/>
      <c r="E352" s="98"/>
      <c r="F352" s="70" t="b">
        <v>0</v>
      </c>
      <c r="G352" s="62"/>
    </row>
    <row r="353" spans="1:7" ht="13.2">
      <c r="A353" s="62"/>
      <c r="B353" s="90"/>
      <c r="C353" s="66"/>
      <c r="D353" s="66"/>
      <c r="E353" s="99"/>
      <c r="F353" s="66" t="b">
        <v>0</v>
      </c>
      <c r="G353" s="62"/>
    </row>
    <row r="354" spans="1:7" ht="13.2">
      <c r="A354" s="62"/>
      <c r="B354" s="96"/>
      <c r="C354" s="70"/>
      <c r="D354" s="70"/>
      <c r="E354" s="98"/>
      <c r="F354" s="70" t="b">
        <v>0</v>
      </c>
      <c r="G354" s="62"/>
    </row>
    <row r="355" spans="1:7" ht="13.2">
      <c r="A355" s="62"/>
      <c r="B355" s="90"/>
      <c r="C355" s="66"/>
      <c r="D355" s="66"/>
      <c r="E355" s="99"/>
      <c r="F355" s="66" t="b">
        <v>0</v>
      </c>
      <c r="G355" s="62"/>
    </row>
    <row r="356" spans="1:7" ht="13.2">
      <c r="A356" s="62"/>
      <c r="B356" s="96"/>
      <c r="C356" s="70"/>
      <c r="D356" s="70"/>
      <c r="E356" s="98"/>
      <c r="F356" s="70" t="b">
        <v>0</v>
      </c>
      <c r="G356" s="62"/>
    </row>
    <row r="357" spans="1:7" ht="13.2">
      <c r="A357" s="62"/>
      <c r="B357" s="90"/>
      <c r="C357" s="66"/>
      <c r="D357" s="66"/>
      <c r="E357" s="99"/>
      <c r="F357" s="66" t="b">
        <v>0</v>
      </c>
      <c r="G357" s="62"/>
    </row>
    <row r="358" spans="1:7" ht="13.2">
      <c r="A358" s="62"/>
      <c r="B358" s="96"/>
      <c r="C358" s="70"/>
      <c r="D358" s="70"/>
      <c r="E358" s="98"/>
      <c r="F358" s="70" t="b">
        <v>0</v>
      </c>
      <c r="G358" s="62"/>
    </row>
    <row r="359" spans="1:7" ht="13.2">
      <c r="A359" s="62"/>
      <c r="B359" s="90"/>
      <c r="C359" s="66"/>
      <c r="D359" s="66"/>
      <c r="E359" s="99"/>
      <c r="F359" s="66" t="b">
        <v>0</v>
      </c>
      <c r="G359" s="62"/>
    </row>
    <row r="360" spans="1:7" ht="13.2">
      <c r="A360" s="62"/>
      <c r="B360" s="96"/>
      <c r="C360" s="70"/>
      <c r="D360" s="70"/>
      <c r="E360" s="98"/>
      <c r="F360" s="70" t="b">
        <v>0</v>
      </c>
      <c r="G360" s="62"/>
    </row>
    <row r="361" spans="1:7" ht="13.2">
      <c r="A361" s="62"/>
      <c r="B361" s="90"/>
      <c r="C361" s="66"/>
      <c r="D361" s="66"/>
      <c r="E361" s="99"/>
      <c r="F361" s="66" t="b">
        <v>0</v>
      </c>
      <c r="G361" s="62"/>
    </row>
    <row r="362" spans="1:7" ht="13.2">
      <c r="A362" s="62"/>
      <c r="B362" s="96"/>
      <c r="C362" s="70"/>
      <c r="D362" s="70"/>
      <c r="E362" s="98"/>
      <c r="F362" s="70" t="b">
        <v>0</v>
      </c>
      <c r="G362" s="62"/>
    </row>
    <row r="363" spans="1:7" ht="13.2">
      <c r="A363" s="62"/>
      <c r="B363" s="90"/>
      <c r="C363" s="66"/>
      <c r="D363" s="66"/>
      <c r="E363" s="99"/>
      <c r="F363" s="66" t="b">
        <v>0</v>
      </c>
      <c r="G363" s="62"/>
    </row>
    <row r="364" spans="1:7" ht="13.2">
      <c r="A364" s="62"/>
      <c r="B364" s="96"/>
      <c r="C364" s="70"/>
      <c r="D364" s="70"/>
      <c r="E364" s="98"/>
      <c r="F364" s="70" t="b">
        <v>0</v>
      </c>
      <c r="G364" s="62"/>
    </row>
    <row r="365" spans="1:7" ht="13.2">
      <c r="A365" s="62"/>
      <c r="B365" s="90"/>
      <c r="C365" s="66"/>
      <c r="D365" s="66"/>
      <c r="E365" s="99"/>
      <c r="F365" s="66" t="b">
        <v>0</v>
      </c>
      <c r="G365" s="62"/>
    </row>
    <row r="366" spans="1:7" ht="13.2">
      <c r="A366" s="62"/>
      <c r="B366" s="96"/>
      <c r="C366" s="70"/>
      <c r="D366" s="70"/>
      <c r="E366" s="98"/>
      <c r="F366" s="70" t="b">
        <v>0</v>
      </c>
      <c r="G366" s="62"/>
    </row>
    <row r="367" spans="1:7" ht="13.2">
      <c r="A367" s="62"/>
      <c r="B367" s="90"/>
      <c r="C367" s="66"/>
      <c r="D367" s="66"/>
      <c r="E367" s="99"/>
      <c r="F367" s="66" t="b">
        <v>0</v>
      </c>
      <c r="G367" s="62"/>
    </row>
    <row r="368" spans="1:7" ht="13.2">
      <c r="A368" s="62"/>
      <c r="B368" s="96"/>
      <c r="C368" s="70"/>
      <c r="D368" s="70"/>
      <c r="E368" s="98"/>
      <c r="F368" s="70" t="b">
        <v>0</v>
      </c>
      <c r="G368" s="62"/>
    </row>
    <row r="369" spans="1:7" ht="13.2">
      <c r="A369" s="62"/>
      <c r="B369" s="90"/>
      <c r="C369" s="66"/>
      <c r="D369" s="66"/>
      <c r="E369" s="99"/>
      <c r="F369" s="66" t="b">
        <v>0</v>
      </c>
      <c r="G369" s="62"/>
    </row>
    <row r="370" spans="1:7" ht="13.2">
      <c r="A370" s="62"/>
      <c r="B370" s="96"/>
      <c r="C370" s="70"/>
      <c r="D370" s="70"/>
      <c r="E370" s="98"/>
      <c r="F370" s="70" t="b">
        <v>0</v>
      </c>
      <c r="G370" s="62"/>
    </row>
    <row r="371" spans="1:7" ht="13.2">
      <c r="A371" s="62"/>
      <c r="B371" s="90"/>
      <c r="C371" s="66"/>
      <c r="D371" s="66"/>
      <c r="E371" s="99"/>
      <c r="F371" s="66" t="b">
        <v>0</v>
      </c>
      <c r="G371" s="62"/>
    </row>
    <row r="372" spans="1:7" ht="13.2">
      <c r="A372" s="62"/>
      <c r="B372" s="96"/>
      <c r="C372" s="70"/>
      <c r="D372" s="70"/>
      <c r="E372" s="98"/>
      <c r="F372" s="70" t="b">
        <v>0</v>
      </c>
      <c r="G372" s="62"/>
    </row>
    <row r="373" spans="1:7" ht="13.2">
      <c r="A373" s="62"/>
      <c r="B373" s="90"/>
      <c r="C373" s="66"/>
      <c r="D373" s="66"/>
      <c r="E373" s="99"/>
      <c r="F373" s="66" t="b">
        <v>0</v>
      </c>
      <c r="G373" s="62"/>
    </row>
    <row r="374" spans="1:7" ht="13.2">
      <c r="A374" s="62"/>
      <c r="B374" s="96"/>
      <c r="C374" s="70"/>
      <c r="D374" s="70"/>
      <c r="E374" s="98"/>
      <c r="F374" s="70" t="b">
        <v>0</v>
      </c>
      <c r="G374" s="62"/>
    </row>
    <row r="375" spans="1:7" ht="13.2">
      <c r="A375" s="62"/>
      <c r="B375" s="90"/>
      <c r="C375" s="66"/>
      <c r="D375" s="66"/>
      <c r="E375" s="99"/>
      <c r="F375" s="66" t="b">
        <v>0</v>
      </c>
      <c r="G375" s="62"/>
    </row>
    <row r="376" spans="1:7" ht="13.2">
      <c r="A376" s="62"/>
      <c r="B376" s="96"/>
      <c r="C376" s="70"/>
      <c r="D376" s="70"/>
      <c r="E376" s="98"/>
      <c r="F376" s="70" t="b">
        <v>0</v>
      </c>
      <c r="G376" s="62"/>
    </row>
    <row r="377" spans="1:7" ht="13.2">
      <c r="A377" s="62"/>
      <c r="B377" s="90"/>
      <c r="C377" s="66"/>
      <c r="D377" s="66"/>
      <c r="E377" s="99"/>
      <c r="F377" s="66" t="b">
        <v>0</v>
      </c>
      <c r="G377" s="62"/>
    </row>
    <row r="378" spans="1:7" ht="13.2">
      <c r="A378" s="62"/>
      <c r="B378" s="96"/>
      <c r="C378" s="70"/>
      <c r="D378" s="70"/>
      <c r="E378" s="98"/>
      <c r="F378" s="70" t="b">
        <v>0</v>
      </c>
      <c r="G378" s="62"/>
    </row>
    <row r="379" spans="1:7" ht="13.2">
      <c r="A379" s="62"/>
      <c r="B379" s="90"/>
      <c r="C379" s="66"/>
      <c r="D379" s="66"/>
      <c r="E379" s="99"/>
      <c r="F379" s="66" t="b">
        <v>0</v>
      </c>
      <c r="G379" s="62"/>
    </row>
    <row r="380" spans="1:7" ht="13.2">
      <c r="A380" s="62"/>
      <c r="B380" s="96"/>
      <c r="C380" s="70"/>
      <c r="D380" s="70"/>
      <c r="E380" s="98"/>
      <c r="F380" s="70" t="b">
        <v>0</v>
      </c>
      <c r="G380" s="62"/>
    </row>
    <row r="381" spans="1:7" ht="13.2">
      <c r="A381" s="62"/>
      <c r="B381" s="90"/>
      <c r="C381" s="66"/>
      <c r="D381" s="66"/>
      <c r="E381" s="99"/>
      <c r="F381" s="66" t="b">
        <v>0</v>
      </c>
      <c r="G381" s="62"/>
    </row>
    <row r="382" spans="1:7" ht="13.2">
      <c r="A382" s="62"/>
      <c r="B382" s="96"/>
      <c r="C382" s="70"/>
      <c r="D382" s="70"/>
      <c r="E382" s="98"/>
      <c r="F382" s="70" t="b">
        <v>0</v>
      </c>
      <c r="G382" s="62"/>
    </row>
    <row r="383" spans="1:7" ht="13.2">
      <c r="A383" s="62"/>
      <c r="B383" s="90"/>
      <c r="C383" s="66"/>
      <c r="D383" s="66"/>
      <c r="E383" s="99"/>
      <c r="F383" s="66" t="b">
        <v>0</v>
      </c>
      <c r="G383" s="62"/>
    </row>
    <row r="384" spans="1:7" ht="13.2">
      <c r="A384" s="62"/>
      <c r="B384" s="96"/>
      <c r="C384" s="70"/>
      <c r="D384" s="70"/>
      <c r="E384" s="98"/>
      <c r="F384" s="70" t="b">
        <v>0</v>
      </c>
      <c r="G384" s="62"/>
    </row>
    <row r="385" spans="1:7" ht="13.2">
      <c r="A385" s="62"/>
      <c r="B385" s="90"/>
      <c r="C385" s="66"/>
      <c r="D385" s="66"/>
      <c r="E385" s="99"/>
      <c r="F385" s="66" t="b">
        <v>0</v>
      </c>
      <c r="G385" s="62"/>
    </row>
    <row r="386" spans="1:7" ht="13.2">
      <c r="A386" s="62"/>
      <c r="B386" s="96"/>
      <c r="C386" s="70"/>
      <c r="D386" s="70"/>
      <c r="E386" s="98"/>
      <c r="F386" s="70" t="b">
        <v>0</v>
      </c>
      <c r="G386" s="62"/>
    </row>
    <row r="387" spans="1:7" ht="13.2">
      <c r="A387" s="62"/>
      <c r="B387" s="90"/>
      <c r="C387" s="66"/>
      <c r="D387" s="66"/>
      <c r="E387" s="99"/>
      <c r="F387" s="66" t="b">
        <v>0</v>
      </c>
      <c r="G387" s="62"/>
    </row>
    <row r="388" spans="1:7" ht="13.2">
      <c r="A388" s="62"/>
      <c r="B388" s="96"/>
      <c r="C388" s="70"/>
      <c r="D388" s="70"/>
      <c r="E388" s="98"/>
      <c r="F388" s="70" t="b">
        <v>0</v>
      </c>
      <c r="G388" s="62"/>
    </row>
    <row r="389" spans="1:7" ht="13.2">
      <c r="A389" s="62"/>
      <c r="B389" s="90"/>
      <c r="C389" s="66"/>
      <c r="D389" s="66"/>
      <c r="E389" s="99"/>
      <c r="F389" s="66" t="b">
        <v>0</v>
      </c>
      <c r="G389" s="62"/>
    </row>
    <row r="390" spans="1:7" ht="13.2">
      <c r="A390" s="62"/>
      <c r="B390" s="96"/>
      <c r="C390" s="70"/>
      <c r="D390" s="70"/>
      <c r="E390" s="98"/>
      <c r="F390" s="70" t="b">
        <v>0</v>
      </c>
      <c r="G390" s="62"/>
    </row>
    <row r="391" spans="1:7" ht="13.2">
      <c r="A391" s="62"/>
      <c r="B391" s="90"/>
      <c r="C391" s="66"/>
      <c r="D391" s="66"/>
      <c r="E391" s="99"/>
      <c r="F391" s="66" t="b">
        <v>0</v>
      </c>
      <c r="G391" s="62"/>
    </row>
    <row r="392" spans="1:7" ht="13.2">
      <c r="A392" s="62"/>
      <c r="B392" s="96"/>
      <c r="C392" s="70"/>
      <c r="D392" s="70"/>
      <c r="E392" s="98"/>
      <c r="F392" s="70" t="b">
        <v>0</v>
      </c>
      <c r="G392" s="62"/>
    </row>
    <row r="393" spans="1:7" ht="13.2">
      <c r="A393" s="62"/>
      <c r="B393" s="90"/>
      <c r="C393" s="66"/>
      <c r="D393" s="66"/>
      <c r="E393" s="99"/>
      <c r="F393" s="66" t="b">
        <v>0</v>
      </c>
      <c r="G393" s="62"/>
    </row>
    <row r="394" spans="1:7" ht="13.2">
      <c r="A394" s="62"/>
      <c r="B394" s="96"/>
      <c r="C394" s="70"/>
      <c r="D394" s="70"/>
      <c r="E394" s="98"/>
      <c r="F394" s="70" t="b">
        <v>0</v>
      </c>
      <c r="G394" s="62"/>
    </row>
    <row r="395" spans="1:7" ht="13.2">
      <c r="A395" s="62"/>
      <c r="B395" s="90"/>
      <c r="C395" s="66"/>
      <c r="D395" s="66"/>
      <c r="E395" s="99"/>
      <c r="F395" s="66" t="b">
        <v>0</v>
      </c>
      <c r="G395" s="62"/>
    </row>
    <row r="396" spans="1:7" ht="13.2">
      <c r="A396" s="62"/>
      <c r="B396" s="96"/>
      <c r="C396" s="70"/>
      <c r="D396" s="70"/>
      <c r="E396" s="98"/>
      <c r="F396" s="70" t="b">
        <v>0</v>
      </c>
      <c r="G396" s="62"/>
    </row>
    <row r="397" spans="1:7" ht="13.2">
      <c r="A397" s="62"/>
      <c r="B397" s="90"/>
      <c r="C397" s="66"/>
      <c r="D397" s="66"/>
      <c r="E397" s="99"/>
      <c r="F397" s="66" t="b">
        <v>0</v>
      </c>
      <c r="G397" s="62"/>
    </row>
    <row r="398" spans="1:7" ht="13.2">
      <c r="A398" s="62"/>
      <c r="B398" s="96"/>
      <c r="C398" s="70"/>
      <c r="D398" s="70"/>
      <c r="E398" s="98"/>
      <c r="F398" s="70" t="b">
        <v>0</v>
      </c>
      <c r="G398" s="62"/>
    </row>
    <row r="399" spans="1:7" ht="13.2">
      <c r="A399" s="62"/>
      <c r="B399" s="90"/>
      <c r="C399" s="66"/>
      <c r="D399" s="66"/>
      <c r="E399" s="99"/>
      <c r="F399" s="66" t="b">
        <v>0</v>
      </c>
      <c r="G399" s="62"/>
    </row>
    <row r="400" spans="1:7" ht="13.2">
      <c r="A400" s="62"/>
      <c r="B400" s="96"/>
      <c r="C400" s="70"/>
      <c r="D400" s="70"/>
      <c r="E400" s="98"/>
      <c r="F400" s="70" t="b">
        <v>0</v>
      </c>
      <c r="G400" s="62"/>
    </row>
    <row r="401" spans="1:7" ht="13.2">
      <c r="A401" s="62"/>
      <c r="B401" s="90"/>
      <c r="C401" s="66"/>
      <c r="D401" s="66"/>
      <c r="E401" s="99"/>
      <c r="F401" s="66" t="b">
        <v>0</v>
      </c>
      <c r="G401" s="62"/>
    </row>
    <row r="402" spans="1:7" ht="13.2">
      <c r="A402" s="62"/>
      <c r="B402" s="96"/>
      <c r="C402" s="70"/>
      <c r="D402" s="70"/>
      <c r="E402" s="98"/>
      <c r="F402" s="70" t="b">
        <v>0</v>
      </c>
      <c r="G402" s="62"/>
    </row>
    <row r="403" spans="1:7" ht="13.2">
      <c r="A403" s="62"/>
      <c r="B403" s="90"/>
      <c r="C403" s="66"/>
      <c r="D403" s="66"/>
      <c r="E403" s="99"/>
      <c r="F403" s="66" t="b">
        <v>0</v>
      </c>
      <c r="G403" s="62"/>
    </row>
    <row r="404" spans="1:7" ht="13.2">
      <c r="A404" s="62"/>
      <c r="B404" s="96"/>
      <c r="C404" s="70"/>
      <c r="D404" s="70"/>
      <c r="E404" s="98"/>
      <c r="F404" s="70" t="b">
        <v>0</v>
      </c>
      <c r="G404" s="62"/>
    </row>
    <row r="405" spans="1:7" ht="13.2">
      <c r="A405" s="62"/>
      <c r="B405" s="90"/>
      <c r="C405" s="66"/>
      <c r="D405" s="66"/>
      <c r="E405" s="99"/>
      <c r="F405" s="66" t="b">
        <v>0</v>
      </c>
      <c r="G405" s="62"/>
    </row>
    <row r="406" spans="1:7" ht="13.2">
      <c r="A406" s="62"/>
      <c r="B406" s="96"/>
      <c r="C406" s="70"/>
      <c r="D406" s="70"/>
      <c r="E406" s="98"/>
      <c r="F406" s="70" t="b">
        <v>0</v>
      </c>
      <c r="G406" s="62"/>
    </row>
    <row r="407" spans="1:7" ht="13.2">
      <c r="A407" s="62"/>
      <c r="B407" s="90"/>
      <c r="C407" s="66"/>
      <c r="D407" s="66"/>
      <c r="E407" s="99"/>
      <c r="F407" s="66" t="b">
        <v>0</v>
      </c>
      <c r="G407" s="62"/>
    </row>
    <row r="408" spans="1:7" ht="13.2">
      <c r="A408" s="62"/>
      <c r="B408" s="96"/>
      <c r="C408" s="70"/>
      <c r="D408" s="70"/>
      <c r="E408" s="98"/>
      <c r="F408" s="70" t="b">
        <v>0</v>
      </c>
      <c r="G408" s="62"/>
    </row>
    <row r="409" spans="1:7" ht="13.2">
      <c r="A409" s="62"/>
      <c r="B409" s="90"/>
      <c r="C409" s="66"/>
      <c r="D409" s="66"/>
      <c r="E409" s="99"/>
      <c r="F409" s="66" t="b">
        <v>0</v>
      </c>
      <c r="G409" s="62"/>
    </row>
    <row r="410" spans="1:7" ht="13.2">
      <c r="A410" s="62"/>
      <c r="B410" s="96"/>
      <c r="C410" s="70"/>
      <c r="D410" s="70"/>
      <c r="E410" s="98"/>
      <c r="F410" s="70" t="b">
        <v>0</v>
      </c>
      <c r="G410" s="62"/>
    </row>
    <row r="411" spans="1:7" ht="13.2">
      <c r="A411" s="62"/>
      <c r="B411" s="90"/>
      <c r="C411" s="66"/>
      <c r="D411" s="66"/>
      <c r="E411" s="99"/>
      <c r="F411" s="66" t="b">
        <v>0</v>
      </c>
      <c r="G411" s="62"/>
    </row>
    <row r="412" spans="1:7" ht="13.2">
      <c r="A412" s="62"/>
      <c r="B412" s="96"/>
      <c r="C412" s="70"/>
      <c r="D412" s="70"/>
      <c r="E412" s="98"/>
      <c r="F412" s="70" t="b">
        <v>0</v>
      </c>
      <c r="G412" s="62"/>
    </row>
    <row r="413" spans="1:7" ht="13.2">
      <c r="A413" s="62"/>
      <c r="B413" s="90"/>
      <c r="C413" s="66"/>
      <c r="D413" s="66"/>
      <c r="E413" s="99"/>
      <c r="F413" s="66" t="b">
        <v>0</v>
      </c>
      <c r="G413" s="62"/>
    </row>
    <row r="414" spans="1:7" ht="13.2">
      <c r="A414" s="62"/>
      <c r="B414" s="96"/>
      <c r="C414" s="70"/>
      <c r="D414" s="70"/>
      <c r="E414" s="98"/>
      <c r="F414" s="70" t="b">
        <v>0</v>
      </c>
      <c r="G414" s="62"/>
    </row>
    <row r="415" spans="1:7" ht="13.2">
      <c r="A415" s="62"/>
      <c r="B415" s="90"/>
      <c r="C415" s="66"/>
      <c r="D415" s="66"/>
      <c r="E415" s="99"/>
      <c r="F415" s="66" t="b">
        <v>0</v>
      </c>
      <c r="G415" s="62"/>
    </row>
    <row r="416" spans="1:7" ht="13.2">
      <c r="A416" s="62"/>
      <c r="B416" s="96"/>
      <c r="C416" s="70"/>
      <c r="D416" s="70"/>
      <c r="E416" s="98"/>
      <c r="F416" s="70" t="b">
        <v>0</v>
      </c>
      <c r="G416" s="62"/>
    </row>
    <row r="417" spans="1:7" ht="13.2">
      <c r="A417" s="62"/>
      <c r="B417" s="90"/>
      <c r="C417" s="66"/>
      <c r="D417" s="66"/>
      <c r="E417" s="99"/>
      <c r="F417" s="66" t="b">
        <v>0</v>
      </c>
      <c r="G417" s="62"/>
    </row>
    <row r="418" spans="1:7" ht="13.2">
      <c r="A418" s="62"/>
      <c r="B418" s="96"/>
      <c r="C418" s="70"/>
      <c r="D418" s="70"/>
      <c r="E418" s="98"/>
      <c r="F418" s="70" t="b">
        <v>0</v>
      </c>
      <c r="G418" s="62"/>
    </row>
    <row r="419" spans="1:7" ht="13.2">
      <c r="A419" s="62"/>
      <c r="B419" s="90"/>
      <c r="C419" s="66"/>
      <c r="D419" s="66"/>
      <c r="E419" s="99"/>
      <c r="F419" s="66" t="b">
        <v>0</v>
      </c>
      <c r="G419" s="62"/>
    </row>
    <row r="420" spans="1:7" ht="13.2">
      <c r="A420" s="62"/>
      <c r="B420" s="96"/>
      <c r="C420" s="70"/>
      <c r="D420" s="70"/>
      <c r="E420" s="98"/>
      <c r="F420" s="70" t="b">
        <v>0</v>
      </c>
      <c r="G420" s="62"/>
    </row>
    <row r="421" spans="1:7" ht="13.2">
      <c r="A421" s="62"/>
      <c r="B421" s="90"/>
      <c r="C421" s="66"/>
      <c r="D421" s="66"/>
      <c r="E421" s="99"/>
      <c r="F421" s="66" t="b">
        <v>0</v>
      </c>
      <c r="G421" s="62"/>
    </row>
    <row r="422" spans="1:7" ht="13.2">
      <c r="A422" s="62"/>
      <c r="B422" s="96"/>
      <c r="C422" s="70"/>
      <c r="D422" s="70"/>
      <c r="E422" s="98"/>
      <c r="F422" s="70" t="b">
        <v>0</v>
      </c>
      <c r="G422" s="62"/>
    </row>
    <row r="423" spans="1:7" ht="13.2">
      <c r="A423" s="62"/>
      <c r="B423" s="90"/>
      <c r="C423" s="66"/>
      <c r="D423" s="66"/>
      <c r="E423" s="99"/>
      <c r="F423" s="66" t="b">
        <v>0</v>
      </c>
      <c r="G423" s="62"/>
    </row>
    <row r="424" spans="1:7" ht="13.2">
      <c r="A424" s="62"/>
      <c r="B424" s="96"/>
      <c r="C424" s="70"/>
      <c r="D424" s="70"/>
      <c r="E424" s="98"/>
      <c r="F424" s="70" t="b">
        <v>0</v>
      </c>
      <c r="G424" s="62"/>
    </row>
    <row r="425" spans="1:7" ht="13.2">
      <c r="A425" s="62"/>
      <c r="B425" s="90"/>
      <c r="C425" s="66"/>
      <c r="D425" s="66"/>
      <c r="E425" s="99"/>
      <c r="F425" s="66" t="b">
        <v>0</v>
      </c>
      <c r="G425" s="62"/>
    </row>
    <row r="426" spans="1:7" ht="13.2">
      <c r="A426" s="62"/>
      <c r="B426" s="96"/>
      <c r="C426" s="70"/>
      <c r="D426" s="70"/>
      <c r="E426" s="98"/>
      <c r="F426" s="70" t="b">
        <v>0</v>
      </c>
      <c r="G426" s="62"/>
    </row>
    <row r="427" spans="1:7" ht="13.2">
      <c r="A427" s="62"/>
      <c r="B427" s="90"/>
      <c r="C427" s="66"/>
      <c r="D427" s="66"/>
      <c r="E427" s="99"/>
      <c r="F427" s="66" t="b">
        <v>0</v>
      </c>
      <c r="G427" s="62"/>
    </row>
    <row r="428" spans="1:7" ht="13.2">
      <c r="A428" s="62"/>
      <c r="B428" s="96"/>
      <c r="C428" s="70"/>
      <c r="D428" s="70"/>
      <c r="E428" s="98"/>
      <c r="F428" s="70" t="b">
        <v>0</v>
      </c>
      <c r="G428" s="62"/>
    </row>
    <row r="429" spans="1:7" ht="13.2">
      <c r="A429" s="62"/>
      <c r="B429" s="90"/>
      <c r="C429" s="66"/>
      <c r="D429" s="66"/>
      <c r="E429" s="99"/>
      <c r="F429" s="66" t="b">
        <v>0</v>
      </c>
      <c r="G429" s="62"/>
    </row>
    <row r="430" spans="1:7" ht="13.2">
      <c r="A430" s="62"/>
      <c r="B430" s="96"/>
      <c r="C430" s="70"/>
      <c r="D430" s="70"/>
      <c r="E430" s="98"/>
      <c r="F430" s="70" t="b">
        <v>0</v>
      </c>
      <c r="G430" s="62"/>
    </row>
    <row r="431" spans="1:7" ht="13.2">
      <c r="A431" s="62"/>
      <c r="B431" s="90"/>
      <c r="C431" s="66"/>
      <c r="D431" s="66"/>
      <c r="E431" s="99"/>
      <c r="F431" s="66" t="b">
        <v>0</v>
      </c>
      <c r="G431" s="62"/>
    </row>
    <row r="432" spans="1:7" ht="13.2">
      <c r="A432" s="62"/>
      <c r="B432" s="96"/>
      <c r="C432" s="70"/>
      <c r="D432" s="70"/>
      <c r="E432" s="98"/>
      <c r="F432" s="70" t="b">
        <v>0</v>
      </c>
      <c r="G432" s="62"/>
    </row>
    <row r="433" spans="1:7" ht="13.2">
      <c r="A433" s="62"/>
      <c r="B433" s="90"/>
      <c r="C433" s="66"/>
      <c r="D433" s="66"/>
      <c r="E433" s="99"/>
      <c r="F433" s="66" t="b">
        <v>0</v>
      </c>
      <c r="G433" s="62"/>
    </row>
    <row r="434" spans="1:7" ht="13.2">
      <c r="A434" s="62"/>
      <c r="B434" s="96"/>
      <c r="C434" s="70"/>
      <c r="D434" s="70"/>
      <c r="E434" s="98"/>
      <c r="F434" s="70" t="b">
        <v>0</v>
      </c>
      <c r="G434" s="62"/>
    </row>
    <row r="435" spans="1:7" ht="13.2">
      <c r="A435" s="62"/>
      <c r="B435" s="90"/>
      <c r="C435" s="66"/>
      <c r="D435" s="66"/>
      <c r="E435" s="99"/>
      <c r="F435" s="66" t="b">
        <v>0</v>
      </c>
      <c r="G435" s="62"/>
    </row>
    <row r="436" spans="1:7" ht="13.2">
      <c r="A436" s="62"/>
      <c r="B436" s="96"/>
      <c r="C436" s="70"/>
      <c r="D436" s="70"/>
      <c r="E436" s="98"/>
      <c r="F436" s="70" t="b">
        <v>0</v>
      </c>
      <c r="G436" s="62"/>
    </row>
    <row r="437" spans="1:7" ht="13.2">
      <c r="A437" s="62"/>
      <c r="B437" s="90"/>
      <c r="C437" s="66"/>
      <c r="D437" s="66"/>
      <c r="E437" s="99"/>
      <c r="F437" s="66" t="b">
        <v>0</v>
      </c>
      <c r="G437" s="62"/>
    </row>
    <row r="438" spans="1:7" ht="13.2">
      <c r="A438" s="62"/>
      <c r="B438" s="96"/>
      <c r="C438" s="70"/>
      <c r="D438" s="70"/>
      <c r="E438" s="98"/>
      <c r="F438" s="70" t="b">
        <v>0</v>
      </c>
      <c r="G438" s="62"/>
    </row>
    <row r="439" spans="1:7" ht="13.2">
      <c r="A439" s="62"/>
      <c r="B439" s="90"/>
      <c r="C439" s="66"/>
      <c r="D439" s="66"/>
      <c r="E439" s="99"/>
      <c r="F439" s="66" t="b">
        <v>0</v>
      </c>
      <c r="G439" s="62"/>
    </row>
    <row r="440" spans="1:7" ht="13.2">
      <c r="A440" s="62"/>
      <c r="B440" s="96"/>
      <c r="C440" s="70"/>
      <c r="D440" s="70"/>
      <c r="E440" s="98"/>
      <c r="F440" s="70" t="b">
        <v>0</v>
      </c>
      <c r="G440" s="62"/>
    </row>
    <row r="441" spans="1:7" ht="13.2">
      <c r="A441" s="62"/>
      <c r="B441" s="90"/>
      <c r="C441" s="66"/>
      <c r="D441" s="66"/>
      <c r="E441" s="99"/>
      <c r="F441" s="66" t="b">
        <v>0</v>
      </c>
      <c r="G441" s="62"/>
    </row>
    <row r="442" spans="1:7" ht="13.2">
      <c r="A442" s="62"/>
      <c r="B442" s="96"/>
      <c r="C442" s="70"/>
      <c r="D442" s="70"/>
      <c r="E442" s="98"/>
      <c r="F442" s="70" t="b">
        <v>0</v>
      </c>
      <c r="G442" s="62"/>
    </row>
    <row r="443" spans="1:7" ht="13.2">
      <c r="A443" s="62"/>
      <c r="B443" s="90"/>
      <c r="C443" s="66"/>
      <c r="D443" s="66"/>
      <c r="E443" s="99"/>
      <c r="F443" s="66" t="b">
        <v>0</v>
      </c>
      <c r="G443" s="62"/>
    </row>
    <row r="444" spans="1:7" ht="13.2">
      <c r="A444" s="62"/>
      <c r="B444" s="96"/>
      <c r="C444" s="70"/>
      <c r="D444" s="70"/>
      <c r="E444" s="98"/>
      <c r="F444" s="70" t="b">
        <v>0</v>
      </c>
      <c r="G444" s="62"/>
    </row>
    <row r="445" spans="1:7" ht="13.2">
      <c r="A445" s="62"/>
      <c r="B445" s="90"/>
      <c r="C445" s="66"/>
      <c r="D445" s="66"/>
      <c r="E445" s="99"/>
      <c r="F445" s="66" t="b">
        <v>0</v>
      </c>
      <c r="G445" s="62"/>
    </row>
    <row r="446" spans="1:7" ht="13.2">
      <c r="A446" s="62"/>
      <c r="B446" s="96"/>
      <c r="C446" s="70"/>
      <c r="D446" s="70"/>
      <c r="E446" s="98"/>
      <c r="F446" s="70" t="b">
        <v>0</v>
      </c>
      <c r="G446" s="62"/>
    </row>
    <row r="447" spans="1:7" ht="13.2">
      <c r="A447" s="62"/>
      <c r="B447" s="90"/>
      <c r="C447" s="66"/>
      <c r="D447" s="66"/>
      <c r="E447" s="99"/>
      <c r="F447" s="66" t="b">
        <v>0</v>
      </c>
      <c r="G447" s="62"/>
    </row>
    <row r="448" spans="1:7" ht="13.2">
      <c r="A448" s="62"/>
      <c r="B448" s="96"/>
      <c r="C448" s="70"/>
      <c r="D448" s="70"/>
      <c r="E448" s="98"/>
      <c r="F448" s="70" t="b">
        <v>0</v>
      </c>
      <c r="G448" s="62"/>
    </row>
    <row r="449" spans="1:7" ht="13.2">
      <c r="A449" s="62"/>
      <c r="B449" s="90"/>
      <c r="C449" s="66"/>
      <c r="D449" s="66"/>
      <c r="E449" s="99"/>
      <c r="F449" s="66" t="b">
        <v>0</v>
      </c>
      <c r="G449" s="62"/>
    </row>
    <row r="450" spans="1:7" ht="13.2">
      <c r="A450" s="62"/>
      <c r="B450" s="96"/>
      <c r="C450" s="70"/>
      <c r="D450" s="70"/>
      <c r="E450" s="98"/>
      <c r="F450" s="70" t="b">
        <v>0</v>
      </c>
      <c r="G450" s="62"/>
    </row>
    <row r="451" spans="1:7" ht="13.2">
      <c r="A451" s="62"/>
      <c r="B451" s="90"/>
      <c r="C451" s="66"/>
      <c r="D451" s="66"/>
      <c r="E451" s="99"/>
      <c r="F451" s="66" t="b">
        <v>0</v>
      </c>
      <c r="G451" s="62"/>
    </row>
    <row r="452" spans="1:7" ht="13.2">
      <c r="A452" s="62"/>
      <c r="B452" s="96"/>
      <c r="C452" s="70"/>
      <c r="D452" s="70"/>
      <c r="E452" s="98"/>
      <c r="F452" s="70" t="b">
        <v>0</v>
      </c>
      <c r="G452" s="62"/>
    </row>
    <row r="453" spans="1:7" ht="13.2">
      <c r="A453" s="62"/>
      <c r="B453" s="90"/>
      <c r="C453" s="66"/>
      <c r="D453" s="66"/>
      <c r="E453" s="99"/>
      <c r="F453" s="66" t="b">
        <v>0</v>
      </c>
      <c r="G453" s="62"/>
    </row>
    <row r="454" spans="1:7" ht="13.2">
      <c r="A454" s="62"/>
      <c r="B454" s="96"/>
      <c r="C454" s="70"/>
      <c r="D454" s="70"/>
      <c r="E454" s="98"/>
      <c r="F454" s="70" t="b">
        <v>0</v>
      </c>
      <c r="G454" s="62"/>
    </row>
    <row r="455" spans="1:7" ht="13.2">
      <c r="A455" s="62"/>
      <c r="B455" s="90"/>
      <c r="C455" s="66"/>
      <c r="D455" s="66"/>
      <c r="E455" s="99"/>
      <c r="F455" s="66" t="b">
        <v>0</v>
      </c>
      <c r="G455" s="62"/>
    </row>
    <row r="456" spans="1:7" ht="13.2">
      <c r="A456" s="62"/>
      <c r="B456" s="96"/>
      <c r="C456" s="70"/>
      <c r="D456" s="70"/>
      <c r="E456" s="98"/>
      <c r="F456" s="70" t="b">
        <v>0</v>
      </c>
      <c r="G456" s="62"/>
    </row>
    <row r="457" spans="1:7" ht="13.2">
      <c r="A457" s="62"/>
      <c r="B457" s="90"/>
      <c r="C457" s="66"/>
      <c r="D457" s="66"/>
      <c r="E457" s="99"/>
      <c r="F457" s="66" t="b">
        <v>0</v>
      </c>
      <c r="G457" s="62"/>
    </row>
    <row r="458" spans="1:7" ht="13.2">
      <c r="A458" s="62"/>
      <c r="B458" s="96"/>
      <c r="C458" s="70"/>
      <c r="D458" s="70"/>
      <c r="E458" s="98"/>
      <c r="F458" s="70" t="b">
        <v>0</v>
      </c>
      <c r="G458" s="62"/>
    </row>
    <row r="459" spans="1:7" ht="13.2">
      <c r="A459" s="62"/>
      <c r="B459" s="90"/>
      <c r="C459" s="66"/>
      <c r="D459" s="66"/>
      <c r="E459" s="99"/>
      <c r="F459" s="66" t="b">
        <v>0</v>
      </c>
      <c r="G459" s="62"/>
    </row>
    <row r="460" spans="1:7" ht="13.2">
      <c r="A460" s="62"/>
      <c r="B460" s="96"/>
      <c r="C460" s="70"/>
      <c r="D460" s="70"/>
      <c r="E460" s="98"/>
      <c r="F460" s="70" t="b">
        <v>0</v>
      </c>
      <c r="G460" s="62"/>
    </row>
    <row r="461" spans="1:7" ht="13.2">
      <c r="A461" s="62"/>
      <c r="B461" s="90"/>
      <c r="C461" s="66"/>
      <c r="D461" s="66"/>
      <c r="E461" s="99"/>
      <c r="F461" s="66" t="b">
        <v>0</v>
      </c>
      <c r="G461" s="62"/>
    </row>
    <row r="462" spans="1:7" ht="13.2">
      <c r="A462" s="62"/>
      <c r="B462" s="96"/>
      <c r="C462" s="70"/>
      <c r="D462" s="70"/>
      <c r="E462" s="98"/>
      <c r="F462" s="70" t="b">
        <v>0</v>
      </c>
      <c r="G462" s="62"/>
    </row>
    <row r="463" spans="1:7" ht="13.2">
      <c r="A463" s="62"/>
      <c r="B463" s="90"/>
      <c r="C463" s="66"/>
      <c r="D463" s="66"/>
      <c r="E463" s="99"/>
      <c r="F463" s="66" t="b">
        <v>0</v>
      </c>
      <c r="G463" s="62"/>
    </row>
    <row r="464" spans="1:7" ht="13.2">
      <c r="A464" s="62"/>
      <c r="B464" s="96"/>
      <c r="C464" s="70"/>
      <c r="D464" s="70"/>
      <c r="E464" s="98"/>
      <c r="F464" s="70" t="b">
        <v>0</v>
      </c>
      <c r="G464" s="62"/>
    </row>
    <row r="465" spans="1:7" ht="13.2">
      <c r="A465" s="62"/>
      <c r="B465" s="90"/>
      <c r="C465" s="66"/>
      <c r="D465" s="66"/>
      <c r="E465" s="99"/>
      <c r="F465" s="66" t="b">
        <v>0</v>
      </c>
      <c r="G465" s="62"/>
    </row>
    <row r="466" spans="1:7" ht="13.2">
      <c r="A466" s="62"/>
      <c r="B466" s="96"/>
      <c r="C466" s="70"/>
      <c r="D466" s="70"/>
      <c r="E466" s="98"/>
      <c r="F466" s="70" t="b">
        <v>0</v>
      </c>
      <c r="G466" s="62"/>
    </row>
    <row r="467" spans="1:7" ht="13.2">
      <c r="A467" s="62"/>
      <c r="B467" s="90"/>
      <c r="C467" s="66"/>
      <c r="D467" s="66"/>
      <c r="E467" s="99"/>
      <c r="F467" s="66" t="b">
        <v>0</v>
      </c>
      <c r="G467" s="62"/>
    </row>
    <row r="468" spans="1:7" ht="13.2">
      <c r="A468" s="62"/>
      <c r="B468" s="96"/>
      <c r="C468" s="70"/>
      <c r="D468" s="70"/>
      <c r="E468" s="98"/>
      <c r="F468" s="70" t="b">
        <v>0</v>
      </c>
      <c r="G468" s="62"/>
    </row>
    <row r="469" spans="1:7" ht="13.2">
      <c r="A469" s="62"/>
      <c r="B469" s="90"/>
      <c r="C469" s="66"/>
      <c r="D469" s="66"/>
      <c r="E469" s="99"/>
      <c r="F469" s="66" t="b">
        <v>0</v>
      </c>
      <c r="G469" s="62"/>
    </row>
    <row r="470" spans="1:7" ht="13.2">
      <c r="A470" s="62"/>
      <c r="B470" s="96"/>
      <c r="C470" s="70"/>
      <c r="D470" s="70"/>
      <c r="E470" s="98"/>
      <c r="F470" s="70" t="b">
        <v>0</v>
      </c>
      <c r="G470" s="62"/>
    </row>
    <row r="471" spans="1:7" ht="13.2">
      <c r="A471" s="62"/>
      <c r="B471" s="90"/>
      <c r="C471" s="66"/>
      <c r="D471" s="66"/>
      <c r="E471" s="99"/>
      <c r="F471" s="66" t="b">
        <v>0</v>
      </c>
      <c r="G471" s="62"/>
    </row>
    <row r="472" spans="1:7" ht="13.2">
      <c r="A472" s="62"/>
      <c r="B472" s="96"/>
      <c r="C472" s="70"/>
      <c r="D472" s="70"/>
      <c r="E472" s="98"/>
      <c r="F472" s="70" t="b">
        <v>0</v>
      </c>
      <c r="G472" s="62"/>
    </row>
    <row r="473" spans="1:7" ht="13.2">
      <c r="A473" s="62"/>
      <c r="B473" s="90"/>
      <c r="C473" s="66"/>
      <c r="D473" s="66"/>
      <c r="E473" s="99"/>
      <c r="F473" s="66" t="b">
        <v>0</v>
      </c>
      <c r="G473" s="62"/>
    </row>
    <row r="474" spans="1:7" ht="13.2">
      <c r="A474" s="62"/>
      <c r="B474" s="96"/>
      <c r="C474" s="70"/>
      <c r="D474" s="70"/>
      <c r="E474" s="98"/>
      <c r="F474" s="70" t="b">
        <v>0</v>
      </c>
      <c r="G474" s="62"/>
    </row>
    <row r="475" spans="1:7" ht="13.2">
      <c r="A475" s="62"/>
      <c r="B475" s="90"/>
      <c r="C475" s="66"/>
      <c r="D475" s="66"/>
      <c r="E475" s="99"/>
      <c r="F475" s="66" t="b">
        <v>0</v>
      </c>
      <c r="G475" s="62"/>
    </row>
    <row r="476" spans="1:7" ht="13.2">
      <c r="A476" s="62"/>
      <c r="B476" s="96"/>
      <c r="C476" s="70"/>
      <c r="D476" s="70"/>
      <c r="E476" s="98"/>
      <c r="F476" s="70" t="b">
        <v>0</v>
      </c>
      <c r="G476" s="62"/>
    </row>
    <row r="477" spans="1:7" ht="13.2">
      <c r="A477" s="62"/>
      <c r="B477" s="90"/>
      <c r="C477" s="66"/>
      <c r="D477" s="66"/>
      <c r="E477" s="99"/>
      <c r="F477" s="66" t="b">
        <v>0</v>
      </c>
      <c r="G477" s="62"/>
    </row>
    <row r="478" spans="1:7" ht="13.2">
      <c r="A478" s="62"/>
      <c r="B478" s="96"/>
      <c r="C478" s="70"/>
      <c r="D478" s="70"/>
      <c r="E478" s="98"/>
      <c r="F478" s="70" t="b">
        <v>0</v>
      </c>
      <c r="G478" s="62"/>
    </row>
    <row r="479" spans="1:7" ht="13.2">
      <c r="A479" s="62"/>
      <c r="B479" s="90"/>
      <c r="C479" s="66"/>
      <c r="D479" s="66"/>
      <c r="E479" s="99"/>
      <c r="F479" s="66" t="b">
        <v>0</v>
      </c>
      <c r="G479" s="62"/>
    </row>
    <row r="480" spans="1:7" ht="13.2">
      <c r="A480" s="62"/>
      <c r="B480" s="96"/>
      <c r="C480" s="70"/>
      <c r="D480" s="70"/>
      <c r="E480" s="98"/>
      <c r="F480" s="70" t="b">
        <v>0</v>
      </c>
      <c r="G480" s="62"/>
    </row>
    <row r="481" spans="1:7" ht="13.2">
      <c r="A481" s="62"/>
      <c r="B481" s="90"/>
      <c r="C481" s="66"/>
      <c r="D481" s="66"/>
      <c r="E481" s="99"/>
      <c r="F481" s="66" t="b">
        <v>0</v>
      </c>
      <c r="G481" s="62"/>
    </row>
    <row r="482" spans="1:7" ht="13.2">
      <c r="A482" s="62"/>
      <c r="B482" s="96"/>
      <c r="C482" s="70"/>
      <c r="D482" s="70"/>
      <c r="E482" s="98"/>
      <c r="F482" s="70" t="b">
        <v>0</v>
      </c>
      <c r="G482" s="62"/>
    </row>
    <row r="483" spans="1:7" ht="13.2">
      <c r="A483" s="62"/>
      <c r="B483" s="90"/>
      <c r="C483" s="66"/>
      <c r="D483" s="66"/>
      <c r="E483" s="99"/>
      <c r="F483" s="66" t="b">
        <v>0</v>
      </c>
      <c r="G483" s="62"/>
    </row>
    <row r="484" spans="1:7" ht="13.2">
      <c r="A484" s="62"/>
      <c r="B484" s="96"/>
      <c r="C484" s="70"/>
      <c r="D484" s="70"/>
      <c r="E484" s="98"/>
      <c r="F484" s="70" t="b">
        <v>0</v>
      </c>
      <c r="G484" s="62"/>
    </row>
    <row r="485" spans="1:7" ht="13.2">
      <c r="A485" s="62"/>
      <c r="B485" s="90"/>
      <c r="C485" s="66"/>
      <c r="D485" s="66"/>
      <c r="E485" s="99"/>
      <c r="F485" s="66" t="b">
        <v>0</v>
      </c>
      <c r="G485" s="62"/>
    </row>
    <row r="486" spans="1:7" ht="13.2">
      <c r="A486" s="62"/>
      <c r="B486" s="96"/>
      <c r="C486" s="70"/>
      <c r="D486" s="70"/>
      <c r="E486" s="98"/>
      <c r="F486" s="70" t="b">
        <v>0</v>
      </c>
      <c r="G486" s="62"/>
    </row>
    <row r="487" spans="1:7" ht="13.2">
      <c r="A487" s="62"/>
      <c r="B487" s="90"/>
      <c r="C487" s="66"/>
      <c r="D487" s="66"/>
      <c r="E487" s="99"/>
      <c r="F487" s="66" t="b">
        <v>0</v>
      </c>
      <c r="G487" s="62"/>
    </row>
    <row r="488" spans="1:7" ht="13.2">
      <c r="A488" s="62"/>
      <c r="B488" s="96"/>
      <c r="C488" s="70"/>
      <c r="D488" s="70"/>
      <c r="E488" s="98"/>
      <c r="F488" s="70" t="b">
        <v>0</v>
      </c>
      <c r="G488" s="62"/>
    </row>
    <row r="489" spans="1:7" ht="13.2">
      <c r="A489" s="62"/>
      <c r="B489" s="90"/>
      <c r="C489" s="66"/>
      <c r="D489" s="66"/>
      <c r="E489" s="99"/>
      <c r="F489" s="66" t="b">
        <v>0</v>
      </c>
      <c r="G489" s="62"/>
    </row>
    <row r="490" spans="1:7" ht="13.2">
      <c r="A490" s="62"/>
      <c r="B490" s="96"/>
      <c r="C490" s="70"/>
      <c r="D490" s="70"/>
      <c r="E490" s="98"/>
      <c r="F490" s="70" t="b">
        <v>0</v>
      </c>
      <c r="G490" s="62"/>
    </row>
    <row r="491" spans="1:7" ht="13.2">
      <c r="A491" s="62"/>
      <c r="B491" s="90"/>
      <c r="C491" s="66"/>
      <c r="D491" s="66"/>
      <c r="E491" s="99"/>
      <c r="F491" s="66" t="b">
        <v>0</v>
      </c>
      <c r="G491" s="62"/>
    </row>
    <row r="492" spans="1:7" ht="13.2">
      <c r="A492" s="62"/>
      <c r="B492" s="96"/>
      <c r="C492" s="70"/>
      <c r="D492" s="70"/>
      <c r="E492" s="98"/>
      <c r="F492" s="70" t="b">
        <v>0</v>
      </c>
      <c r="G492" s="62"/>
    </row>
    <row r="493" spans="1:7" ht="13.2">
      <c r="A493" s="62"/>
      <c r="B493" s="90"/>
      <c r="C493" s="66"/>
      <c r="D493" s="66"/>
      <c r="E493" s="99"/>
      <c r="F493" s="66" t="b">
        <v>0</v>
      </c>
      <c r="G493" s="62"/>
    </row>
    <row r="494" spans="1:7" ht="13.2">
      <c r="A494" s="62"/>
      <c r="B494" s="96"/>
      <c r="C494" s="70"/>
      <c r="D494" s="70"/>
      <c r="E494" s="98"/>
      <c r="F494" s="70" t="b">
        <v>0</v>
      </c>
      <c r="G494" s="62"/>
    </row>
    <row r="495" spans="1:7" ht="13.2">
      <c r="A495" s="62"/>
      <c r="B495" s="90"/>
      <c r="C495" s="66"/>
      <c r="D495" s="66"/>
      <c r="E495" s="99"/>
      <c r="F495" s="66" t="b">
        <v>0</v>
      </c>
      <c r="G495" s="62"/>
    </row>
    <row r="496" spans="1:7" ht="13.2">
      <c r="A496" s="62"/>
      <c r="B496" s="96"/>
      <c r="C496" s="70"/>
      <c r="D496" s="70"/>
      <c r="E496" s="98"/>
      <c r="F496" s="70" t="b">
        <v>0</v>
      </c>
      <c r="G496" s="62"/>
    </row>
    <row r="497" spans="1:7" ht="13.2">
      <c r="A497" s="62"/>
      <c r="B497" s="90"/>
      <c r="C497" s="66"/>
      <c r="D497" s="66"/>
      <c r="E497" s="99"/>
      <c r="F497" s="66" t="b">
        <v>0</v>
      </c>
      <c r="G497" s="62"/>
    </row>
    <row r="498" spans="1:7" ht="13.2">
      <c r="A498" s="62"/>
      <c r="B498" s="96"/>
      <c r="C498" s="70"/>
      <c r="D498" s="70"/>
      <c r="E498" s="98"/>
      <c r="F498" s="70" t="b">
        <v>0</v>
      </c>
      <c r="G498" s="62"/>
    </row>
    <row r="499" spans="1:7" ht="13.2">
      <c r="A499" s="62"/>
      <c r="B499" s="90"/>
      <c r="C499" s="66"/>
      <c r="D499" s="66"/>
      <c r="E499" s="99"/>
      <c r="F499" s="66" t="b">
        <v>0</v>
      </c>
      <c r="G499" s="62"/>
    </row>
    <row r="500" spans="1:7" ht="13.2">
      <c r="A500" s="62"/>
      <c r="B500" s="96"/>
      <c r="C500" s="70"/>
      <c r="D500" s="70"/>
      <c r="E500" s="98"/>
      <c r="F500" s="70" t="b">
        <v>0</v>
      </c>
      <c r="G500" s="62"/>
    </row>
    <row r="501" spans="1:7" ht="13.2">
      <c r="A501" s="62"/>
      <c r="B501" s="90"/>
      <c r="C501" s="66"/>
      <c r="D501" s="66"/>
      <c r="E501" s="99"/>
      <c r="F501" s="66" t="b">
        <v>0</v>
      </c>
      <c r="G501" s="62"/>
    </row>
    <row r="502" spans="1:7" ht="13.2">
      <c r="A502" s="62"/>
      <c r="B502" s="96"/>
      <c r="C502" s="70"/>
      <c r="D502" s="70"/>
      <c r="E502" s="98"/>
      <c r="F502" s="70" t="b">
        <v>0</v>
      </c>
      <c r="G502" s="62"/>
    </row>
    <row r="503" spans="1:7" ht="13.2">
      <c r="A503" s="62"/>
      <c r="B503" s="90"/>
      <c r="C503" s="66"/>
      <c r="D503" s="66"/>
      <c r="E503" s="99"/>
      <c r="F503" s="66" t="b">
        <v>0</v>
      </c>
      <c r="G503" s="62"/>
    </row>
    <row r="504" spans="1:7" ht="13.2">
      <c r="A504" s="62"/>
      <c r="B504" s="96"/>
      <c r="C504" s="70"/>
      <c r="D504" s="70"/>
      <c r="E504" s="98"/>
      <c r="F504" s="70" t="b">
        <v>0</v>
      </c>
      <c r="G504" s="62"/>
    </row>
    <row r="505" spans="1:7" ht="13.2">
      <c r="A505" s="62"/>
      <c r="B505" s="90"/>
      <c r="C505" s="66"/>
      <c r="D505" s="66"/>
      <c r="E505" s="99"/>
      <c r="F505" s="66" t="b">
        <v>0</v>
      </c>
      <c r="G505" s="62"/>
    </row>
    <row r="506" spans="1:7" ht="13.2">
      <c r="A506" s="62"/>
      <c r="B506" s="96"/>
      <c r="C506" s="70"/>
      <c r="D506" s="70"/>
      <c r="E506" s="98"/>
      <c r="F506" s="70" t="b">
        <v>0</v>
      </c>
      <c r="G506" s="62"/>
    </row>
    <row r="507" spans="1:7" ht="13.2">
      <c r="A507" s="62"/>
      <c r="B507" s="90"/>
      <c r="C507" s="66"/>
      <c r="D507" s="66"/>
      <c r="E507" s="99"/>
      <c r="F507" s="66" t="b">
        <v>0</v>
      </c>
      <c r="G507" s="62"/>
    </row>
    <row r="508" spans="1:7" ht="13.2">
      <c r="A508" s="62"/>
      <c r="B508" s="96"/>
      <c r="C508" s="70"/>
      <c r="D508" s="70"/>
      <c r="E508" s="98"/>
      <c r="F508" s="70" t="b">
        <v>0</v>
      </c>
      <c r="G508" s="62"/>
    </row>
    <row r="509" spans="1:7" ht="13.2">
      <c r="A509" s="62"/>
      <c r="B509" s="90"/>
      <c r="C509" s="66"/>
      <c r="D509" s="66"/>
      <c r="E509" s="99"/>
      <c r="F509" s="66" t="b">
        <v>0</v>
      </c>
      <c r="G509" s="62"/>
    </row>
    <row r="510" spans="1:7" ht="13.2">
      <c r="A510" s="62"/>
      <c r="B510" s="96"/>
      <c r="C510" s="70"/>
      <c r="D510" s="70"/>
      <c r="E510" s="98"/>
      <c r="F510" s="70" t="b">
        <v>0</v>
      </c>
      <c r="G510" s="62"/>
    </row>
    <row r="511" spans="1:7" ht="13.2">
      <c r="A511" s="62"/>
      <c r="B511" s="90"/>
      <c r="C511" s="66"/>
      <c r="D511" s="66"/>
      <c r="E511" s="99"/>
      <c r="F511" s="66" t="b">
        <v>0</v>
      </c>
      <c r="G511" s="62"/>
    </row>
    <row r="512" spans="1:7" ht="13.2">
      <c r="A512" s="62"/>
      <c r="B512" s="96"/>
      <c r="C512" s="70"/>
      <c r="D512" s="70"/>
      <c r="E512" s="98"/>
      <c r="F512" s="70" t="b">
        <v>0</v>
      </c>
      <c r="G512" s="62"/>
    </row>
    <row r="513" spans="1:7" ht="13.2">
      <c r="A513" s="62"/>
      <c r="B513" s="90"/>
      <c r="C513" s="66"/>
      <c r="D513" s="66"/>
      <c r="E513" s="99"/>
      <c r="F513" s="66" t="b">
        <v>0</v>
      </c>
      <c r="G513" s="62"/>
    </row>
    <row r="514" spans="1:7" ht="13.2">
      <c r="A514" s="62"/>
      <c r="B514" s="96"/>
      <c r="C514" s="70"/>
      <c r="D514" s="70"/>
      <c r="E514" s="98"/>
      <c r="F514" s="70" t="b">
        <v>0</v>
      </c>
      <c r="G514" s="62"/>
    </row>
    <row r="515" spans="1:7" ht="13.2">
      <c r="A515" s="62"/>
      <c r="B515" s="90"/>
      <c r="C515" s="66"/>
      <c r="D515" s="66"/>
      <c r="E515" s="99"/>
      <c r="F515" s="66" t="b">
        <v>0</v>
      </c>
      <c r="G515" s="62"/>
    </row>
    <row r="516" spans="1:7" ht="13.2">
      <c r="A516" s="62"/>
      <c r="B516" s="96"/>
      <c r="C516" s="70"/>
      <c r="D516" s="70"/>
      <c r="E516" s="98"/>
      <c r="F516" s="70" t="b">
        <v>0</v>
      </c>
      <c r="G516" s="62"/>
    </row>
    <row r="517" spans="1:7" ht="13.2">
      <c r="A517" s="62"/>
      <c r="B517" s="90"/>
      <c r="C517" s="66"/>
      <c r="D517" s="66"/>
      <c r="E517" s="99"/>
      <c r="F517" s="66" t="b">
        <v>0</v>
      </c>
      <c r="G517" s="62"/>
    </row>
    <row r="518" spans="1:7" ht="13.2">
      <c r="A518" s="62"/>
      <c r="B518" s="96"/>
      <c r="C518" s="70"/>
      <c r="D518" s="70"/>
      <c r="E518" s="98"/>
      <c r="F518" s="70" t="b">
        <v>0</v>
      </c>
      <c r="G518" s="62"/>
    </row>
    <row r="519" spans="1:7" ht="13.2">
      <c r="A519" s="62"/>
      <c r="B519" s="90"/>
      <c r="C519" s="66"/>
      <c r="D519" s="66"/>
      <c r="E519" s="99"/>
      <c r="F519" s="66" t="b">
        <v>0</v>
      </c>
      <c r="G519" s="62"/>
    </row>
    <row r="520" spans="1:7" ht="13.2">
      <c r="A520" s="62"/>
      <c r="B520" s="96"/>
      <c r="C520" s="70"/>
      <c r="D520" s="70"/>
      <c r="E520" s="98"/>
      <c r="F520" s="70" t="b">
        <v>0</v>
      </c>
      <c r="G520" s="62"/>
    </row>
    <row r="521" spans="1:7" ht="13.2">
      <c r="A521" s="62"/>
      <c r="B521" s="90"/>
      <c r="C521" s="66"/>
      <c r="D521" s="66"/>
      <c r="E521" s="99"/>
      <c r="F521" s="66" t="b">
        <v>0</v>
      </c>
      <c r="G521" s="62"/>
    </row>
    <row r="522" spans="1:7" ht="13.2">
      <c r="A522" s="62"/>
      <c r="B522" s="96"/>
      <c r="C522" s="70"/>
      <c r="D522" s="70"/>
      <c r="E522" s="98"/>
      <c r="F522" s="70" t="b">
        <v>0</v>
      </c>
      <c r="G522" s="62"/>
    </row>
    <row r="523" spans="1:7" ht="13.2">
      <c r="A523" s="62"/>
      <c r="B523" s="90"/>
      <c r="C523" s="66"/>
      <c r="D523" s="66"/>
      <c r="E523" s="99"/>
      <c r="F523" s="66" t="b">
        <v>0</v>
      </c>
      <c r="G523" s="62"/>
    </row>
    <row r="524" spans="1:7" ht="13.2">
      <c r="A524" s="62"/>
      <c r="B524" s="96"/>
      <c r="C524" s="70"/>
      <c r="D524" s="70"/>
      <c r="E524" s="98"/>
      <c r="F524" s="70" t="b">
        <v>0</v>
      </c>
      <c r="G524" s="62"/>
    </row>
    <row r="525" spans="1:7" ht="13.2">
      <c r="A525" s="62"/>
      <c r="B525" s="90"/>
      <c r="C525" s="66"/>
      <c r="D525" s="66"/>
      <c r="E525" s="99"/>
      <c r="F525" s="66" t="b">
        <v>0</v>
      </c>
      <c r="G525" s="62"/>
    </row>
    <row r="526" spans="1:7" ht="13.2">
      <c r="A526" s="62"/>
      <c r="B526" s="96"/>
      <c r="C526" s="70"/>
      <c r="D526" s="70"/>
      <c r="E526" s="98"/>
      <c r="F526" s="70" t="b">
        <v>0</v>
      </c>
      <c r="G526" s="62"/>
    </row>
    <row r="527" spans="1:7" ht="13.2">
      <c r="A527" s="62"/>
      <c r="B527" s="90"/>
      <c r="C527" s="66"/>
      <c r="D527" s="66"/>
      <c r="E527" s="99"/>
      <c r="F527" s="66" t="b">
        <v>0</v>
      </c>
      <c r="G527" s="62"/>
    </row>
    <row r="528" spans="1:7" ht="13.2">
      <c r="A528" s="62"/>
      <c r="B528" s="96"/>
      <c r="C528" s="70"/>
      <c r="D528" s="70"/>
      <c r="E528" s="98"/>
      <c r="F528" s="70" t="b">
        <v>0</v>
      </c>
      <c r="G528" s="62"/>
    </row>
    <row r="529" spans="1:7" ht="13.2">
      <c r="A529" s="62"/>
      <c r="B529" s="90"/>
      <c r="C529" s="66"/>
      <c r="D529" s="66"/>
      <c r="E529" s="99"/>
      <c r="F529" s="66" t="b">
        <v>0</v>
      </c>
      <c r="G529" s="62"/>
    </row>
    <row r="530" spans="1:7" ht="13.2">
      <c r="A530" s="62"/>
      <c r="B530" s="96"/>
      <c r="C530" s="70"/>
      <c r="D530" s="70"/>
      <c r="E530" s="98"/>
      <c r="F530" s="70" t="b">
        <v>0</v>
      </c>
      <c r="G530" s="62"/>
    </row>
    <row r="531" spans="1:7" ht="13.2">
      <c r="A531" s="62"/>
      <c r="B531" s="90"/>
      <c r="C531" s="66"/>
      <c r="D531" s="66"/>
      <c r="E531" s="99"/>
      <c r="F531" s="66" t="b">
        <v>0</v>
      </c>
      <c r="G531" s="62"/>
    </row>
    <row r="532" spans="1:7" ht="13.2">
      <c r="A532" s="62"/>
      <c r="B532" s="96"/>
      <c r="C532" s="70"/>
      <c r="D532" s="70"/>
      <c r="E532" s="98"/>
      <c r="F532" s="70" t="b">
        <v>0</v>
      </c>
      <c r="G532" s="62"/>
    </row>
    <row r="533" spans="1:7" ht="13.2">
      <c r="A533" s="62"/>
      <c r="B533" s="90"/>
      <c r="C533" s="66"/>
      <c r="D533" s="66"/>
      <c r="E533" s="99"/>
      <c r="F533" s="66" t="b">
        <v>0</v>
      </c>
      <c r="G533" s="62"/>
    </row>
    <row r="534" spans="1:7" ht="13.2">
      <c r="A534" s="62"/>
      <c r="B534" s="96"/>
      <c r="C534" s="70"/>
      <c r="D534" s="70"/>
      <c r="E534" s="98"/>
      <c r="F534" s="70" t="b">
        <v>0</v>
      </c>
      <c r="G534" s="62"/>
    </row>
    <row r="535" spans="1:7" ht="13.2">
      <c r="A535" s="62"/>
      <c r="B535" s="90"/>
      <c r="C535" s="66"/>
      <c r="D535" s="66"/>
      <c r="E535" s="99"/>
      <c r="F535" s="66" t="b">
        <v>0</v>
      </c>
      <c r="G535" s="62"/>
    </row>
    <row r="536" spans="1:7" ht="13.2">
      <c r="A536" s="62"/>
      <c r="B536" s="96"/>
      <c r="C536" s="70"/>
      <c r="D536" s="70"/>
      <c r="E536" s="98"/>
      <c r="F536" s="70" t="b">
        <v>0</v>
      </c>
      <c r="G536" s="62"/>
    </row>
    <row r="537" spans="1:7" ht="13.2">
      <c r="A537" s="62"/>
      <c r="B537" s="90"/>
      <c r="C537" s="66"/>
      <c r="D537" s="66"/>
      <c r="E537" s="99"/>
      <c r="F537" s="66" t="b">
        <v>0</v>
      </c>
      <c r="G537" s="62"/>
    </row>
    <row r="538" spans="1:7" ht="13.2">
      <c r="A538" s="62"/>
      <c r="B538" s="96"/>
      <c r="C538" s="70"/>
      <c r="D538" s="70"/>
      <c r="E538" s="98"/>
      <c r="F538" s="70" t="b">
        <v>0</v>
      </c>
      <c r="G538" s="62"/>
    </row>
    <row r="539" spans="1:7" ht="13.2">
      <c r="A539" s="62"/>
      <c r="B539" s="90"/>
      <c r="C539" s="66"/>
      <c r="D539" s="66"/>
      <c r="E539" s="99"/>
      <c r="F539" s="66" t="b">
        <v>0</v>
      </c>
      <c r="G539" s="62"/>
    </row>
    <row r="540" spans="1:7" ht="13.2">
      <c r="A540" s="62"/>
      <c r="B540" s="96"/>
      <c r="C540" s="70"/>
      <c r="D540" s="70"/>
      <c r="E540" s="98"/>
      <c r="F540" s="70" t="b">
        <v>0</v>
      </c>
      <c r="G540" s="62"/>
    </row>
    <row r="541" spans="1:7" ht="13.2">
      <c r="A541" s="62"/>
      <c r="B541" s="90"/>
      <c r="C541" s="66"/>
      <c r="D541" s="66"/>
      <c r="E541" s="99"/>
      <c r="F541" s="66" t="b">
        <v>0</v>
      </c>
      <c r="G541" s="62"/>
    </row>
    <row r="542" spans="1:7" ht="13.2">
      <c r="A542" s="62"/>
      <c r="B542" s="96"/>
      <c r="C542" s="70"/>
      <c r="D542" s="70"/>
      <c r="E542" s="98"/>
      <c r="F542" s="70" t="b">
        <v>0</v>
      </c>
      <c r="G542" s="62"/>
    </row>
    <row r="543" spans="1:7" ht="13.2">
      <c r="A543" s="62"/>
      <c r="B543" s="90"/>
      <c r="C543" s="66"/>
      <c r="D543" s="66"/>
      <c r="E543" s="99"/>
      <c r="F543" s="66" t="b">
        <v>0</v>
      </c>
      <c r="G543" s="62"/>
    </row>
    <row r="544" spans="1:7" ht="13.2">
      <c r="A544" s="62"/>
      <c r="B544" s="96"/>
      <c r="C544" s="70"/>
      <c r="D544" s="70"/>
      <c r="E544" s="98"/>
      <c r="F544" s="70" t="b">
        <v>0</v>
      </c>
      <c r="G544" s="62"/>
    </row>
    <row r="545" spans="1:7" ht="13.2">
      <c r="A545" s="62"/>
      <c r="B545" s="90"/>
      <c r="C545" s="66"/>
      <c r="D545" s="66"/>
      <c r="E545" s="99"/>
      <c r="F545" s="66" t="b">
        <v>0</v>
      </c>
      <c r="G545" s="62"/>
    </row>
    <row r="546" spans="1:7" ht="13.2">
      <c r="A546" s="62"/>
      <c r="B546" s="96"/>
      <c r="C546" s="70"/>
      <c r="D546" s="70"/>
      <c r="E546" s="98"/>
      <c r="F546" s="70" t="b">
        <v>0</v>
      </c>
      <c r="G546" s="62"/>
    </row>
    <row r="547" spans="1:7" ht="13.2">
      <c r="A547" s="62"/>
      <c r="B547" s="90"/>
      <c r="C547" s="66"/>
      <c r="D547" s="66"/>
      <c r="E547" s="99"/>
      <c r="F547" s="66" t="b">
        <v>0</v>
      </c>
      <c r="G547" s="62"/>
    </row>
    <row r="548" spans="1:7" ht="13.2">
      <c r="A548" s="62"/>
      <c r="B548" s="96"/>
      <c r="C548" s="70"/>
      <c r="D548" s="70"/>
      <c r="E548" s="98"/>
      <c r="F548" s="70" t="b">
        <v>0</v>
      </c>
      <c r="G548" s="62"/>
    </row>
    <row r="549" spans="1:7" ht="13.2">
      <c r="A549" s="62"/>
      <c r="B549" s="90"/>
      <c r="C549" s="66"/>
      <c r="D549" s="66"/>
      <c r="E549" s="99"/>
      <c r="F549" s="66" t="b">
        <v>0</v>
      </c>
      <c r="G549" s="62"/>
    </row>
    <row r="550" spans="1:7" ht="13.2">
      <c r="A550" s="62"/>
      <c r="B550" s="96"/>
      <c r="C550" s="70"/>
      <c r="D550" s="70"/>
      <c r="E550" s="98"/>
      <c r="F550" s="70" t="b">
        <v>0</v>
      </c>
      <c r="G550" s="62"/>
    </row>
    <row r="551" spans="1:7" ht="13.2">
      <c r="A551" s="62"/>
      <c r="B551" s="90"/>
      <c r="C551" s="66"/>
      <c r="D551" s="66"/>
      <c r="E551" s="99"/>
      <c r="F551" s="66" t="b">
        <v>0</v>
      </c>
      <c r="G551" s="62"/>
    </row>
    <row r="552" spans="1:7" ht="13.2">
      <c r="A552" s="62"/>
      <c r="B552" s="96"/>
      <c r="C552" s="70"/>
      <c r="D552" s="70"/>
      <c r="E552" s="98"/>
      <c r="F552" s="70" t="b">
        <v>0</v>
      </c>
      <c r="G552" s="62"/>
    </row>
    <row r="553" spans="1:7" ht="13.2">
      <c r="A553" s="62"/>
      <c r="B553" s="90"/>
      <c r="C553" s="66"/>
      <c r="D553" s="66"/>
      <c r="E553" s="99"/>
      <c r="F553" s="66" t="b">
        <v>0</v>
      </c>
      <c r="G553" s="62"/>
    </row>
    <row r="554" spans="1:7" ht="13.2">
      <c r="A554" s="62"/>
      <c r="B554" s="96"/>
      <c r="C554" s="70"/>
      <c r="D554" s="70"/>
      <c r="E554" s="98"/>
      <c r="F554" s="70" t="b">
        <v>0</v>
      </c>
      <c r="G554" s="62"/>
    </row>
    <row r="555" spans="1:7" ht="13.2">
      <c r="A555" s="62"/>
      <c r="B555" s="90"/>
      <c r="C555" s="66"/>
      <c r="D555" s="66"/>
      <c r="E555" s="99"/>
      <c r="F555" s="66" t="b">
        <v>0</v>
      </c>
      <c r="G555" s="62"/>
    </row>
    <row r="556" spans="1:7" ht="13.2">
      <c r="A556" s="62"/>
      <c r="B556" s="96"/>
      <c r="C556" s="70"/>
      <c r="D556" s="70"/>
      <c r="E556" s="98"/>
      <c r="F556" s="70" t="b">
        <v>0</v>
      </c>
      <c r="G556" s="62"/>
    </row>
    <row r="557" spans="1:7" ht="13.2">
      <c r="A557" s="62"/>
      <c r="B557" s="90"/>
      <c r="C557" s="66"/>
      <c r="D557" s="66"/>
      <c r="E557" s="99"/>
      <c r="F557" s="66" t="b">
        <v>0</v>
      </c>
      <c r="G557" s="62"/>
    </row>
    <row r="558" spans="1:7" ht="13.2">
      <c r="A558" s="62"/>
      <c r="B558" s="96"/>
      <c r="C558" s="70"/>
      <c r="D558" s="70"/>
      <c r="E558" s="98"/>
      <c r="F558" s="70" t="b">
        <v>0</v>
      </c>
      <c r="G558" s="62"/>
    </row>
    <row r="559" spans="1:7" ht="13.2">
      <c r="A559" s="62"/>
      <c r="B559" s="90"/>
      <c r="C559" s="66"/>
      <c r="D559" s="66"/>
      <c r="E559" s="99"/>
      <c r="F559" s="66" t="b">
        <v>0</v>
      </c>
      <c r="G559" s="62"/>
    </row>
    <row r="560" spans="1:7" ht="13.2">
      <c r="A560" s="62"/>
      <c r="B560" s="96"/>
      <c r="C560" s="70"/>
      <c r="D560" s="70"/>
      <c r="E560" s="98"/>
      <c r="F560" s="70" t="b">
        <v>0</v>
      </c>
      <c r="G560" s="62"/>
    </row>
    <row r="561" spans="1:7" ht="13.2">
      <c r="A561" s="62"/>
      <c r="B561" s="90"/>
      <c r="C561" s="66"/>
      <c r="D561" s="66"/>
      <c r="E561" s="99"/>
      <c r="F561" s="66" t="b">
        <v>0</v>
      </c>
      <c r="G561" s="62"/>
    </row>
    <row r="562" spans="1:7" ht="13.2">
      <c r="A562" s="62"/>
      <c r="B562" s="96"/>
      <c r="C562" s="70"/>
      <c r="D562" s="70"/>
      <c r="E562" s="98"/>
      <c r="F562" s="70" t="b">
        <v>0</v>
      </c>
      <c r="G562" s="62"/>
    </row>
    <row r="563" spans="1:7" ht="13.2">
      <c r="A563" s="62"/>
      <c r="B563" s="90"/>
      <c r="C563" s="66"/>
      <c r="D563" s="66"/>
      <c r="E563" s="99"/>
      <c r="F563" s="66" t="b">
        <v>0</v>
      </c>
      <c r="G563" s="62"/>
    </row>
    <row r="564" spans="1:7" ht="13.2">
      <c r="A564" s="62"/>
      <c r="B564" s="96"/>
      <c r="C564" s="70"/>
      <c r="D564" s="70"/>
      <c r="E564" s="98"/>
      <c r="F564" s="70" t="b">
        <v>0</v>
      </c>
      <c r="G564" s="62"/>
    </row>
    <row r="565" spans="1:7" ht="13.2">
      <c r="A565" s="62"/>
      <c r="B565" s="90"/>
      <c r="C565" s="66"/>
      <c r="D565" s="66"/>
      <c r="E565" s="99"/>
      <c r="F565" s="66" t="b">
        <v>0</v>
      </c>
      <c r="G565" s="62"/>
    </row>
    <row r="566" spans="1:7" ht="13.2">
      <c r="A566" s="62"/>
      <c r="B566" s="96"/>
      <c r="C566" s="70"/>
      <c r="D566" s="70"/>
      <c r="E566" s="98"/>
      <c r="F566" s="70" t="b">
        <v>0</v>
      </c>
      <c r="G566" s="62"/>
    </row>
    <row r="567" spans="1:7" ht="13.2">
      <c r="A567" s="62"/>
      <c r="B567" s="90"/>
      <c r="C567" s="66"/>
      <c r="D567" s="66"/>
      <c r="E567" s="99"/>
      <c r="F567" s="66" t="b">
        <v>0</v>
      </c>
      <c r="G567" s="62"/>
    </row>
    <row r="568" spans="1:7" ht="13.2">
      <c r="A568" s="62"/>
      <c r="B568" s="96"/>
      <c r="C568" s="70"/>
      <c r="D568" s="70"/>
      <c r="E568" s="98"/>
      <c r="F568" s="70" t="b">
        <v>0</v>
      </c>
      <c r="G568" s="62"/>
    </row>
    <row r="569" spans="1:7" ht="13.2">
      <c r="A569" s="62"/>
      <c r="B569" s="90"/>
      <c r="C569" s="66"/>
      <c r="D569" s="66"/>
      <c r="E569" s="99"/>
      <c r="F569" s="66" t="b">
        <v>0</v>
      </c>
      <c r="G569" s="62"/>
    </row>
    <row r="570" spans="1:7" ht="13.2">
      <c r="A570" s="62"/>
      <c r="B570" s="96"/>
      <c r="C570" s="70"/>
      <c r="D570" s="70"/>
      <c r="E570" s="98"/>
      <c r="F570" s="70" t="b">
        <v>0</v>
      </c>
      <c r="G570" s="62"/>
    </row>
    <row r="571" spans="1:7" ht="13.2">
      <c r="A571" s="62"/>
      <c r="B571" s="90"/>
      <c r="C571" s="66"/>
      <c r="D571" s="66"/>
      <c r="E571" s="99"/>
      <c r="F571" s="66" t="b">
        <v>0</v>
      </c>
      <c r="G571" s="62"/>
    </row>
    <row r="572" spans="1:7" ht="13.2">
      <c r="A572" s="62"/>
      <c r="B572" s="96"/>
      <c r="C572" s="70"/>
      <c r="D572" s="70"/>
      <c r="E572" s="98"/>
      <c r="F572" s="70" t="b">
        <v>0</v>
      </c>
      <c r="G572" s="62"/>
    </row>
    <row r="573" spans="1:7" ht="13.2">
      <c r="A573" s="62"/>
      <c r="B573" s="90"/>
      <c r="C573" s="66"/>
      <c r="D573" s="66"/>
      <c r="E573" s="99"/>
      <c r="F573" s="66" t="b">
        <v>0</v>
      </c>
      <c r="G573" s="62"/>
    </row>
    <row r="574" spans="1:7" ht="13.2">
      <c r="A574" s="62"/>
      <c r="B574" s="96"/>
      <c r="C574" s="70"/>
      <c r="D574" s="70"/>
      <c r="E574" s="98"/>
      <c r="F574" s="70" t="b">
        <v>0</v>
      </c>
      <c r="G574" s="62"/>
    </row>
    <row r="575" spans="1:7" ht="13.2">
      <c r="A575" s="62"/>
      <c r="B575" s="90"/>
      <c r="C575" s="66"/>
      <c r="D575" s="66"/>
      <c r="E575" s="99"/>
      <c r="F575" s="66" t="b">
        <v>0</v>
      </c>
      <c r="G575" s="62"/>
    </row>
    <row r="576" spans="1:7" ht="13.2">
      <c r="A576" s="62"/>
      <c r="B576" s="96"/>
      <c r="C576" s="70"/>
      <c r="D576" s="70"/>
      <c r="E576" s="98"/>
      <c r="F576" s="70" t="b">
        <v>0</v>
      </c>
      <c r="G576" s="62"/>
    </row>
    <row r="577" spans="1:7" ht="13.2">
      <c r="A577" s="62"/>
      <c r="B577" s="90"/>
      <c r="C577" s="66"/>
      <c r="D577" s="66"/>
      <c r="E577" s="99"/>
      <c r="F577" s="66" t="b">
        <v>0</v>
      </c>
      <c r="G577" s="62"/>
    </row>
    <row r="578" spans="1:7" ht="13.2">
      <c r="A578" s="62"/>
      <c r="B578" s="96"/>
      <c r="C578" s="70"/>
      <c r="D578" s="70"/>
      <c r="E578" s="98"/>
      <c r="F578" s="70" t="b">
        <v>0</v>
      </c>
      <c r="G578" s="62"/>
    </row>
    <row r="579" spans="1:7" ht="13.2">
      <c r="A579" s="62"/>
      <c r="B579" s="90"/>
      <c r="C579" s="66"/>
      <c r="D579" s="66"/>
      <c r="E579" s="99"/>
      <c r="F579" s="66" t="b">
        <v>0</v>
      </c>
      <c r="G579" s="62"/>
    </row>
    <row r="580" spans="1:7" ht="13.2">
      <c r="A580" s="62"/>
      <c r="B580" s="96"/>
      <c r="C580" s="70"/>
      <c r="D580" s="70"/>
      <c r="E580" s="98"/>
      <c r="F580" s="70" t="b">
        <v>0</v>
      </c>
      <c r="G580" s="62"/>
    </row>
    <row r="581" spans="1:7" ht="13.2">
      <c r="A581" s="62"/>
      <c r="B581" s="90"/>
      <c r="C581" s="66"/>
      <c r="D581" s="66"/>
      <c r="E581" s="99"/>
      <c r="F581" s="66" t="b">
        <v>0</v>
      </c>
      <c r="G581" s="62"/>
    </row>
    <row r="582" spans="1:7" ht="13.2">
      <c r="A582" s="62"/>
      <c r="B582" s="96"/>
      <c r="C582" s="70"/>
      <c r="D582" s="70"/>
      <c r="E582" s="98"/>
      <c r="F582" s="70" t="b">
        <v>0</v>
      </c>
      <c r="G582" s="62"/>
    </row>
    <row r="583" spans="1:7" ht="13.2">
      <c r="A583" s="62"/>
      <c r="B583" s="90"/>
      <c r="C583" s="66"/>
      <c r="D583" s="66"/>
      <c r="E583" s="99"/>
      <c r="F583" s="66" t="b">
        <v>0</v>
      </c>
      <c r="G583" s="62"/>
    </row>
    <row r="584" spans="1:7" ht="13.2">
      <c r="A584" s="62"/>
      <c r="B584" s="96"/>
      <c r="C584" s="70"/>
      <c r="D584" s="70"/>
      <c r="E584" s="98"/>
      <c r="F584" s="70" t="b">
        <v>0</v>
      </c>
      <c r="G584" s="62"/>
    </row>
    <row r="585" spans="1:7" ht="13.2">
      <c r="A585" s="62"/>
      <c r="B585" s="90"/>
      <c r="C585" s="66"/>
      <c r="D585" s="66"/>
      <c r="E585" s="99"/>
      <c r="F585" s="66" t="b">
        <v>0</v>
      </c>
      <c r="G585" s="62"/>
    </row>
    <row r="586" spans="1:7" ht="13.2">
      <c r="A586" s="62"/>
      <c r="B586" s="96"/>
      <c r="C586" s="70"/>
      <c r="D586" s="70"/>
      <c r="E586" s="98"/>
      <c r="F586" s="70" t="b">
        <v>0</v>
      </c>
      <c r="G586" s="62"/>
    </row>
    <row r="587" spans="1:7" ht="13.2">
      <c r="A587" s="62"/>
      <c r="B587" s="90"/>
      <c r="C587" s="66"/>
      <c r="D587" s="66"/>
      <c r="E587" s="99"/>
      <c r="F587" s="66" t="b">
        <v>0</v>
      </c>
      <c r="G587" s="62"/>
    </row>
    <row r="588" spans="1:7" ht="13.2">
      <c r="A588" s="62"/>
      <c r="B588" s="96"/>
      <c r="C588" s="70"/>
      <c r="D588" s="70"/>
      <c r="E588" s="98"/>
      <c r="F588" s="70" t="b">
        <v>0</v>
      </c>
      <c r="G588" s="62"/>
    </row>
    <row r="589" spans="1:7" ht="13.2">
      <c r="A589" s="62"/>
      <c r="B589" s="90"/>
      <c r="C589" s="66"/>
      <c r="D589" s="66"/>
      <c r="E589" s="99"/>
      <c r="F589" s="66" t="b">
        <v>0</v>
      </c>
      <c r="G589" s="62"/>
    </row>
    <row r="590" spans="1:7" ht="13.2">
      <c r="A590" s="62"/>
      <c r="B590" s="96"/>
      <c r="C590" s="70"/>
      <c r="D590" s="70"/>
      <c r="E590" s="98"/>
      <c r="F590" s="70" t="b">
        <v>0</v>
      </c>
      <c r="G590" s="62"/>
    </row>
    <row r="591" spans="1:7" ht="13.2">
      <c r="A591" s="62"/>
      <c r="B591" s="90"/>
      <c r="C591" s="66"/>
      <c r="D591" s="66"/>
      <c r="E591" s="99"/>
      <c r="F591" s="66" t="b">
        <v>0</v>
      </c>
      <c r="G591" s="62"/>
    </row>
    <row r="592" spans="1:7" ht="13.2">
      <c r="A592" s="62"/>
      <c r="B592" s="96"/>
      <c r="C592" s="70"/>
      <c r="D592" s="70"/>
      <c r="E592" s="98"/>
      <c r="F592" s="70" t="b">
        <v>0</v>
      </c>
      <c r="G592" s="62"/>
    </row>
    <row r="593" spans="1:7" ht="13.2">
      <c r="A593" s="62"/>
      <c r="B593" s="90"/>
      <c r="C593" s="66"/>
      <c r="D593" s="66"/>
      <c r="E593" s="99"/>
      <c r="F593" s="66" t="b">
        <v>0</v>
      </c>
      <c r="G593" s="62"/>
    </row>
    <row r="594" spans="1:7" ht="13.2">
      <c r="A594" s="62"/>
      <c r="B594" s="96"/>
      <c r="C594" s="70"/>
      <c r="D594" s="70"/>
      <c r="E594" s="98"/>
      <c r="F594" s="70" t="b">
        <v>0</v>
      </c>
      <c r="G594" s="62"/>
    </row>
    <row r="595" spans="1:7" ht="13.2">
      <c r="A595" s="62"/>
      <c r="B595" s="90"/>
      <c r="C595" s="66"/>
      <c r="D595" s="66"/>
      <c r="E595" s="99"/>
      <c r="F595" s="66" t="b">
        <v>0</v>
      </c>
      <c r="G595" s="62"/>
    </row>
    <row r="596" spans="1:7" ht="13.2">
      <c r="A596" s="62"/>
      <c r="B596" s="96"/>
      <c r="C596" s="70"/>
      <c r="D596" s="70"/>
      <c r="E596" s="98"/>
      <c r="F596" s="70" t="b">
        <v>0</v>
      </c>
      <c r="G596" s="62"/>
    </row>
    <row r="597" spans="1:7" ht="13.2">
      <c r="A597" s="62"/>
      <c r="B597" s="90"/>
      <c r="C597" s="66"/>
      <c r="D597" s="66"/>
      <c r="E597" s="99"/>
      <c r="F597" s="66" t="b">
        <v>0</v>
      </c>
      <c r="G597" s="62"/>
    </row>
    <row r="598" spans="1:7" ht="13.2">
      <c r="A598" s="62"/>
      <c r="B598" s="96"/>
      <c r="C598" s="70"/>
      <c r="D598" s="70"/>
      <c r="E598" s="98"/>
      <c r="F598" s="70" t="b">
        <v>0</v>
      </c>
      <c r="G598" s="62"/>
    </row>
    <row r="599" spans="1:7" ht="13.2">
      <c r="A599" s="62"/>
      <c r="B599" s="90"/>
      <c r="C599" s="66"/>
      <c r="D599" s="66"/>
      <c r="E599" s="99"/>
      <c r="F599" s="66" t="b">
        <v>0</v>
      </c>
      <c r="G599" s="62"/>
    </row>
    <row r="600" spans="1:7" ht="13.2">
      <c r="A600" s="62"/>
      <c r="B600" s="96"/>
      <c r="C600" s="70"/>
      <c r="D600" s="70"/>
      <c r="E600" s="98"/>
      <c r="F600" s="70" t="b">
        <v>0</v>
      </c>
      <c r="G600" s="62"/>
    </row>
    <row r="601" spans="1:7" ht="13.2">
      <c r="A601" s="62"/>
      <c r="B601" s="90"/>
      <c r="C601" s="66"/>
      <c r="D601" s="66"/>
      <c r="E601" s="99"/>
      <c r="F601" s="66" t="b">
        <v>0</v>
      </c>
      <c r="G601" s="62"/>
    </row>
    <row r="602" spans="1:7" ht="13.2">
      <c r="A602" s="62"/>
      <c r="B602" s="96"/>
      <c r="C602" s="70"/>
      <c r="D602" s="70"/>
      <c r="E602" s="98"/>
      <c r="F602" s="70" t="b">
        <v>0</v>
      </c>
      <c r="G602" s="62"/>
    </row>
    <row r="603" spans="1:7" ht="13.2">
      <c r="A603" s="62"/>
      <c r="B603" s="90"/>
      <c r="C603" s="66"/>
      <c r="D603" s="66"/>
      <c r="E603" s="99"/>
      <c r="F603" s="66" t="b">
        <v>0</v>
      </c>
      <c r="G603" s="62"/>
    </row>
    <row r="604" spans="1:7" ht="13.2">
      <c r="A604" s="62"/>
      <c r="B604" s="96"/>
      <c r="C604" s="70"/>
      <c r="D604" s="70"/>
      <c r="E604" s="98"/>
      <c r="F604" s="70" t="b">
        <v>0</v>
      </c>
      <c r="G604" s="62"/>
    </row>
    <row r="605" spans="1:7" ht="13.2">
      <c r="A605" s="62"/>
      <c r="B605" s="90"/>
      <c r="C605" s="66"/>
      <c r="D605" s="66"/>
      <c r="E605" s="99"/>
      <c r="F605" s="66" t="b">
        <v>0</v>
      </c>
      <c r="G605" s="62"/>
    </row>
    <row r="606" spans="1:7" ht="13.2">
      <c r="A606" s="62"/>
      <c r="B606" s="96"/>
      <c r="C606" s="70"/>
      <c r="D606" s="70"/>
      <c r="E606" s="98"/>
      <c r="F606" s="70" t="b">
        <v>0</v>
      </c>
      <c r="G606" s="62"/>
    </row>
    <row r="607" spans="1:7" ht="13.2">
      <c r="A607" s="62"/>
      <c r="B607" s="90"/>
      <c r="C607" s="66"/>
      <c r="D607" s="66"/>
      <c r="E607" s="99"/>
      <c r="F607" s="66" t="b">
        <v>0</v>
      </c>
      <c r="G607" s="62"/>
    </row>
    <row r="608" spans="1:7" ht="13.2">
      <c r="A608" s="62"/>
      <c r="B608" s="96"/>
      <c r="C608" s="70"/>
      <c r="D608" s="70"/>
      <c r="E608" s="98"/>
      <c r="F608" s="70" t="b">
        <v>0</v>
      </c>
      <c r="G608" s="62"/>
    </row>
    <row r="609" spans="1:7" ht="13.2">
      <c r="A609" s="62"/>
      <c r="B609" s="90"/>
      <c r="C609" s="66"/>
      <c r="D609" s="66"/>
      <c r="E609" s="99"/>
      <c r="F609" s="66" t="b">
        <v>0</v>
      </c>
      <c r="G609" s="62"/>
    </row>
    <row r="610" spans="1:7" ht="13.2">
      <c r="A610" s="62"/>
      <c r="B610" s="96"/>
      <c r="C610" s="70"/>
      <c r="D610" s="70"/>
      <c r="E610" s="98"/>
      <c r="F610" s="70" t="b">
        <v>0</v>
      </c>
      <c r="G610" s="62"/>
    </row>
    <row r="611" spans="1:7" ht="13.2">
      <c r="A611" s="62"/>
      <c r="B611" s="90"/>
      <c r="C611" s="66"/>
      <c r="D611" s="66"/>
      <c r="E611" s="99"/>
      <c r="F611" s="66" t="b">
        <v>0</v>
      </c>
      <c r="G611" s="62"/>
    </row>
    <row r="612" spans="1:7" ht="13.2">
      <c r="A612" s="62"/>
      <c r="B612" s="96"/>
      <c r="C612" s="70"/>
      <c r="D612" s="70"/>
      <c r="E612" s="98"/>
      <c r="F612" s="70" t="b">
        <v>0</v>
      </c>
      <c r="G612" s="62"/>
    </row>
    <row r="613" spans="1:7" ht="13.2">
      <c r="A613" s="62"/>
      <c r="B613" s="90"/>
      <c r="C613" s="66"/>
      <c r="D613" s="66"/>
      <c r="E613" s="99"/>
      <c r="F613" s="66" t="b">
        <v>0</v>
      </c>
      <c r="G613" s="62"/>
    </row>
    <row r="614" spans="1:7" ht="13.2">
      <c r="A614" s="62"/>
      <c r="B614" s="96"/>
      <c r="C614" s="70"/>
      <c r="D614" s="70"/>
      <c r="E614" s="98"/>
      <c r="F614" s="70" t="b">
        <v>0</v>
      </c>
      <c r="G614" s="62"/>
    </row>
    <row r="615" spans="1:7" ht="13.2">
      <c r="A615" s="62"/>
      <c r="B615" s="90"/>
      <c r="C615" s="66"/>
      <c r="D615" s="66"/>
      <c r="E615" s="99"/>
      <c r="F615" s="66" t="b">
        <v>0</v>
      </c>
      <c r="G615" s="62"/>
    </row>
    <row r="616" spans="1:7" ht="13.2">
      <c r="A616" s="62"/>
      <c r="B616" s="96"/>
      <c r="C616" s="70"/>
      <c r="D616" s="70"/>
      <c r="E616" s="98"/>
      <c r="F616" s="70" t="b">
        <v>0</v>
      </c>
      <c r="G616" s="62"/>
    </row>
    <row r="617" spans="1:7" ht="13.2">
      <c r="A617" s="62"/>
      <c r="B617" s="90"/>
      <c r="C617" s="66"/>
      <c r="D617" s="66"/>
      <c r="E617" s="99"/>
      <c r="F617" s="66" t="b">
        <v>0</v>
      </c>
      <c r="G617" s="62"/>
    </row>
    <row r="618" spans="1:7" ht="13.2">
      <c r="A618" s="62"/>
      <c r="B618" s="96"/>
      <c r="C618" s="70"/>
      <c r="D618" s="70"/>
      <c r="E618" s="98"/>
      <c r="F618" s="70" t="b">
        <v>0</v>
      </c>
      <c r="G618" s="62"/>
    </row>
    <row r="619" spans="1:7" ht="13.2">
      <c r="A619" s="62"/>
      <c r="B619" s="90"/>
      <c r="C619" s="66"/>
      <c r="D619" s="66"/>
      <c r="E619" s="99"/>
      <c r="F619" s="66" t="b">
        <v>0</v>
      </c>
      <c r="G619" s="62"/>
    </row>
    <row r="620" spans="1:7" ht="13.2">
      <c r="A620" s="62"/>
      <c r="B620" s="96"/>
      <c r="C620" s="70"/>
      <c r="D620" s="70"/>
      <c r="E620" s="98"/>
      <c r="F620" s="70" t="b">
        <v>0</v>
      </c>
      <c r="G620" s="62"/>
    </row>
    <row r="621" spans="1:7" ht="13.2">
      <c r="A621" s="62"/>
      <c r="B621" s="90"/>
      <c r="C621" s="66"/>
      <c r="D621" s="66"/>
      <c r="E621" s="99"/>
      <c r="F621" s="66" t="b">
        <v>0</v>
      </c>
      <c r="G621" s="62"/>
    </row>
    <row r="622" spans="1:7" ht="13.2">
      <c r="A622" s="62"/>
      <c r="B622" s="96"/>
      <c r="C622" s="70"/>
      <c r="D622" s="70"/>
      <c r="E622" s="98"/>
      <c r="F622" s="70" t="b">
        <v>0</v>
      </c>
      <c r="G622" s="62"/>
    </row>
    <row r="623" spans="1:7" ht="13.2">
      <c r="A623" s="62"/>
      <c r="B623" s="90"/>
      <c r="C623" s="66"/>
      <c r="D623" s="66"/>
      <c r="E623" s="99"/>
      <c r="F623" s="66" t="b">
        <v>0</v>
      </c>
      <c r="G623" s="62"/>
    </row>
    <row r="624" spans="1:7" ht="13.2">
      <c r="A624" s="62"/>
      <c r="B624" s="96"/>
      <c r="C624" s="70"/>
      <c r="D624" s="70"/>
      <c r="E624" s="98"/>
      <c r="F624" s="70" t="b">
        <v>0</v>
      </c>
      <c r="G624" s="62"/>
    </row>
    <row r="625" spans="1:7" ht="13.2">
      <c r="A625" s="62"/>
      <c r="B625" s="90"/>
      <c r="C625" s="66"/>
      <c r="D625" s="66"/>
      <c r="E625" s="99"/>
      <c r="F625" s="66" t="b">
        <v>0</v>
      </c>
      <c r="G625" s="62"/>
    </row>
    <row r="626" spans="1:7" ht="13.2">
      <c r="A626" s="62"/>
      <c r="B626" s="96"/>
      <c r="C626" s="70"/>
      <c r="D626" s="70"/>
      <c r="E626" s="98"/>
      <c r="F626" s="70" t="b">
        <v>0</v>
      </c>
      <c r="G626" s="62"/>
    </row>
    <row r="627" spans="1:7" ht="13.2">
      <c r="A627" s="62"/>
      <c r="B627" s="90"/>
      <c r="C627" s="66"/>
      <c r="D627" s="66"/>
      <c r="E627" s="99"/>
      <c r="F627" s="66" t="b">
        <v>0</v>
      </c>
      <c r="G627" s="62"/>
    </row>
    <row r="628" spans="1:7" ht="13.2">
      <c r="A628" s="62"/>
      <c r="B628" s="96"/>
      <c r="C628" s="70"/>
      <c r="D628" s="70"/>
      <c r="E628" s="98"/>
      <c r="F628" s="70" t="b">
        <v>0</v>
      </c>
      <c r="G628" s="62"/>
    </row>
    <row r="629" spans="1:7" ht="13.2">
      <c r="A629" s="62"/>
      <c r="B629" s="90"/>
      <c r="C629" s="66"/>
      <c r="D629" s="66"/>
      <c r="E629" s="99"/>
      <c r="F629" s="66" t="b">
        <v>0</v>
      </c>
      <c r="G629" s="62"/>
    </row>
    <row r="630" spans="1:7" ht="13.2">
      <c r="A630" s="62"/>
      <c r="B630" s="96"/>
      <c r="C630" s="70"/>
      <c r="D630" s="70"/>
      <c r="E630" s="98"/>
      <c r="F630" s="70" t="b">
        <v>0</v>
      </c>
      <c r="G630" s="62"/>
    </row>
    <row r="631" spans="1:7" ht="13.2">
      <c r="A631" s="62"/>
      <c r="B631" s="90"/>
      <c r="C631" s="66"/>
      <c r="D631" s="66"/>
      <c r="E631" s="99"/>
      <c r="F631" s="66" t="b">
        <v>0</v>
      </c>
      <c r="G631" s="62"/>
    </row>
    <row r="632" spans="1:7" ht="13.2">
      <c r="A632" s="62"/>
      <c r="B632" s="96"/>
      <c r="C632" s="70"/>
      <c r="D632" s="70"/>
      <c r="E632" s="98"/>
      <c r="F632" s="70" t="b">
        <v>0</v>
      </c>
      <c r="G632" s="62"/>
    </row>
    <row r="633" spans="1:7" ht="13.2">
      <c r="A633" s="62"/>
      <c r="B633" s="90"/>
      <c r="C633" s="66"/>
      <c r="D633" s="66"/>
      <c r="E633" s="99"/>
      <c r="F633" s="66" t="b">
        <v>0</v>
      </c>
      <c r="G633" s="62"/>
    </row>
    <row r="634" spans="1:7" ht="13.2">
      <c r="A634" s="62"/>
      <c r="B634" s="96"/>
      <c r="C634" s="70"/>
      <c r="D634" s="70"/>
      <c r="E634" s="98"/>
      <c r="F634" s="70" t="b">
        <v>0</v>
      </c>
      <c r="G634" s="62"/>
    </row>
    <row r="635" spans="1:7" ht="13.2">
      <c r="A635" s="62"/>
      <c r="B635" s="90"/>
      <c r="C635" s="66"/>
      <c r="D635" s="66"/>
      <c r="E635" s="99"/>
      <c r="F635" s="66" t="b">
        <v>0</v>
      </c>
      <c r="G635" s="62"/>
    </row>
    <row r="636" spans="1:7" ht="13.2">
      <c r="A636" s="62"/>
      <c r="B636" s="96"/>
      <c r="C636" s="70"/>
      <c r="D636" s="70"/>
      <c r="E636" s="98"/>
      <c r="F636" s="70" t="b">
        <v>0</v>
      </c>
      <c r="G636" s="62"/>
    </row>
    <row r="637" spans="1:7" ht="13.2">
      <c r="A637" s="62"/>
      <c r="B637" s="90"/>
      <c r="C637" s="66"/>
      <c r="D637" s="66"/>
      <c r="E637" s="99"/>
      <c r="F637" s="66" t="b">
        <v>0</v>
      </c>
      <c r="G637" s="62"/>
    </row>
    <row r="638" spans="1:7" ht="13.2">
      <c r="A638" s="62"/>
      <c r="B638" s="96"/>
      <c r="C638" s="70"/>
      <c r="D638" s="70"/>
      <c r="E638" s="98"/>
      <c r="F638" s="70" t="b">
        <v>0</v>
      </c>
      <c r="G638" s="62"/>
    </row>
    <row r="639" spans="1:7" ht="13.2">
      <c r="A639" s="62"/>
      <c r="B639" s="90"/>
      <c r="C639" s="66"/>
      <c r="D639" s="66"/>
      <c r="E639" s="99"/>
      <c r="F639" s="66" t="b">
        <v>0</v>
      </c>
      <c r="G639" s="62"/>
    </row>
    <row r="640" spans="1:7" ht="13.2">
      <c r="A640" s="62"/>
      <c r="B640" s="96"/>
      <c r="C640" s="70"/>
      <c r="D640" s="70"/>
      <c r="E640" s="98"/>
      <c r="F640" s="70" t="b">
        <v>0</v>
      </c>
      <c r="G640" s="62"/>
    </row>
    <row r="641" spans="1:7" ht="13.2">
      <c r="A641" s="62"/>
      <c r="B641" s="90"/>
      <c r="C641" s="66"/>
      <c r="D641" s="66"/>
      <c r="E641" s="99"/>
      <c r="F641" s="66" t="b">
        <v>0</v>
      </c>
      <c r="G641" s="62"/>
    </row>
    <row r="642" spans="1:7" ht="13.2">
      <c r="A642" s="62"/>
      <c r="B642" s="96"/>
      <c r="C642" s="70"/>
      <c r="D642" s="70"/>
      <c r="E642" s="98"/>
      <c r="F642" s="70" t="b">
        <v>0</v>
      </c>
      <c r="G642" s="62"/>
    </row>
    <row r="643" spans="1:7" ht="13.2">
      <c r="A643" s="62"/>
      <c r="B643" s="90"/>
      <c r="C643" s="66"/>
      <c r="D643" s="66"/>
      <c r="E643" s="99"/>
      <c r="F643" s="66" t="b">
        <v>0</v>
      </c>
      <c r="G643" s="62"/>
    </row>
    <row r="644" spans="1:7" ht="13.2">
      <c r="A644" s="62"/>
      <c r="B644" s="96"/>
      <c r="C644" s="70"/>
      <c r="D644" s="70"/>
      <c r="E644" s="98"/>
      <c r="F644" s="70" t="b">
        <v>0</v>
      </c>
      <c r="G644" s="62"/>
    </row>
    <row r="645" spans="1:7" ht="13.2">
      <c r="A645" s="62"/>
      <c r="B645" s="90"/>
      <c r="C645" s="66"/>
      <c r="D645" s="66"/>
      <c r="E645" s="99"/>
      <c r="F645" s="66" t="b">
        <v>0</v>
      </c>
      <c r="G645" s="62"/>
    </row>
    <row r="646" spans="1:7" ht="13.2">
      <c r="A646" s="62"/>
      <c r="B646" s="96"/>
      <c r="C646" s="70"/>
      <c r="D646" s="70"/>
      <c r="E646" s="98"/>
      <c r="F646" s="70" t="b">
        <v>0</v>
      </c>
      <c r="G646" s="62"/>
    </row>
    <row r="647" spans="1:7" ht="13.2">
      <c r="A647" s="62"/>
      <c r="B647" s="90"/>
      <c r="C647" s="66"/>
      <c r="D647" s="66"/>
      <c r="E647" s="99"/>
      <c r="F647" s="66" t="b">
        <v>0</v>
      </c>
      <c r="G647" s="62"/>
    </row>
    <row r="648" spans="1:7" ht="13.2">
      <c r="A648" s="62"/>
      <c r="B648" s="96"/>
      <c r="C648" s="70"/>
      <c r="D648" s="70"/>
      <c r="E648" s="98"/>
      <c r="F648" s="70" t="b">
        <v>0</v>
      </c>
      <c r="G648" s="62"/>
    </row>
    <row r="649" spans="1:7" ht="13.2">
      <c r="A649" s="62"/>
      <c r="B649" s="90"/>
      <c r="C649" s="66"/>
      <c r="D649" s="66"/>
      <c r="E649" s="99"/>
      <c r="F649" s="66" t="b">
        <v>0</v>
      </c>
      <c r="G649" s="62"/>
    </row>
    <row r="650" spans="1:7" ht="13.2">
      <c r="A650" s="62"/>
      <c r="B650" s="96"/>
      <c r="C650" s="70"/>
      <c r="D650" s="70"/>
      <c r="E650" s="98"/>
      <c r="F650" s="70" t="b">
        <v>0</v>
      </c>
      <c r="G650" s="62"/>
    </row>
    <row r="651" spans="1:7" ht="13.2">
      <c r="A651" s="62"/>
      <c r="B651" s="90"/>
      <c r="C651" s="66"/>
      <c r="D651" s="66"/>
      <c r="E651" s="99"/>
      <c r="F651" s="66" t="b">
        <v>0</v>
      </c>
      <c r="G651" s="62"/>
    </row>
    <row r="652" spans="1:7" ht="13.2">
      <c r="A652" s="62"/>
      <c r="B652" s="96"/>
      <c r="C652" s="70"/>
      <c r="D652" s="70"/>
      <c r="E652" s="98"/>
      <c r="F652" s="70" t="b">
        <v>0</v>
      </c>
      <c r="G652" s="62"/>
    </row>
    <row r="653" spans="1:7" ht="13.2">
      <c r="A653" s="62"/>
      <c r="B653" s="90"/>
      <c r="C653" s="66"/>
      <c r="D653" s="66"/>
      <c r="E653" s="99"/>
      <c r="F653" s="66" t="b">
        <v>0</v>
      </c>
      <c r="G653" s="62"/>
    </row>
    <row r="654" spans="1:7" ht="13.2">
      <c r="A654" s="62"/>
      <c r="B654" s="96"/>
      <c r="C654" s="70"/>
      <c r="D654" s="70"/>
      <c r="E654" s="98"/>
      <c r="F654" s="70" t="b">
        <v>0</v>
      </c>
      <c r="G654" s="62"/>
    </row>
    <row r="655" spans="1:7" ht="13.2">
      <c r="A655" s="62"/>
      <c r="B655" s="90"/>
      <c r="C655" s="66"/>
      <c r="D655" s="66"/>
      <c r="E655" s="99"/>
      <c r="F655" s="66" t="b">
        <v>0</v>
      </c>
      <c r="G655" s="62"/>
    </row>
    <row r="656" spans="1:7" ht="13.2">
      <c r="A656" s="62"/>
      <c r="B656" s="96"/>
      <c r="C656" s="70"/>
      <c r="D656" s="70"/>
      <c r="E656" s="98"/>
      <c r="F656" s="70" t="b">
        <v>0</v>
      </c>
      <c r="G656" s="62"/>
    </row>
    <row r="657" spans="1:7" ht="13.2">
      <c r="A657" s="62"/>
      <c r="B657" s="90"/>
      <c r="C657" s="66"/>
      <c r="D657" s="66"/>
      <c r="E657" s="99"/>
      <c r="F657" s="66" t="b">
        <v>0</v>
      </c>
      <c r="G657" s="62"/>
    </row>
    <row r="658" spans="1:7" ht="13.2">
      <c r="A658" s="62"/>
      <c r="B658" s="96"/>
      <c r="C658" s="70"/>
      <c r="D658" s="70"/>
      <c r="E658" s="98"/>
      <c r="F658" s="70" t="b">
        <v>0</v>
      </c>
      <c r="G658" s="62"/>
    </row>
    <row r="659" spans="1:7" ht="13.2">
      <c r="A659" s="62"/>
      <c r="B659" s="90"/>
      <c r="C659" s="66"/>
      <c r="D659" s="66"/>
      <c r="E659" s="99"/>
      <c r="F659" s="66" t="b">
        <v>0</v>
      </c>
      <c r="G659" s="62"/>
    </row>
    <row r="660" spans="1:7" ht="13.2">
      <c r="A660" s="62"/>
      <c r="B660" s="96"/>
      <c r="C660" s="70"/>
      <c r="D660" s="70"/>
      <c r="E660" s="98"/>
      <c r="F660" s="70" t="b">
        <v>0</v>
      </c>
      <c r="G660" s="62"/>
    </row>
    <row r="661" spans="1:7" ht="13.2">
      <c r="A661" s="62"/>
      <c r="B661" s="90"/>
      <c r="C661" s="66"/>
      <c r="D661" s="66"/>
      <c r="E661" s="99"/>
      <c r="F661" s="66" t="b">
        <v>0</v>
      </c>
      <c r="G661" s="62"/>
    </row>
    <row r="662" spans="1:7" ht="13.2">
      <c r="A662" s="62"/>
      <c r="B662" s="96"/>
      <c r="C662" s="70"/>
      <c r="D662" s="70"/>
      <c r="E662" s="98"/>
      <c r="F662" s="70" t="b">
        <v>0</v>
      </c>
      <c r="G662" s="62"/>
    </row>
    <row r="663" spans="1:7" ht="13.2">
      <c r="A663" s="62"/>
      <c r="B663" s="90"/>
      <c r="C663" s="66"/>
      <c r="D663" s="66"/>
      <c r="E663" s="99"/>
      <c r="F663" s="66" t="b">
        <v>0</v>
      </c>
      <c r="G663" s="62"/>
    </row>
    <row r="664" spans="1:7" ht="13.2">
      <c r="A664" s="62"/>
      <c r="B664" s="96"/>
      <c r="C664" s="70"/>
      <c r="D664" s="70"/>
      <c r="E664" s="98"/>
      <c r="F664" s="70" t="b">
        <v>0</v>
      </c>
      <c r="G664" s="62"/>
    </row>
    <row r="665" spans="1:7" ht="13.2">
      <c r="A665" s="62"/>
      <c r="B665" s="90"/>
      <c r="C665" s="66"/>
      <c r="D665" s="66"/>
      <c r="E665" s="99"/>
      <c r="F665" s="66" t="b">
        <v>0</v>
      </c>
      <c r="G665" s="62"/>
    </row>
    <row r="666" spans="1:7" ht="13.2">
      <c r="A666" s="62"/>
      <c r="B666" s="96"/>
      <c r="C666" s="70"/>
      <c r="D666" s="70"/>
      <c r="E666" s="98"/>
      <c r="F666" s="70" t="b">
        <v>0</v>
      </c>
      <c r="G666" s="62"/>
    </row>
    <row r="667" spans="1:7" ht="13.2">
      <c r="A667" s="62"/>
      <c r="B667" s="90"/>
      <c r="C667" s="66"/>
      <c r="D667" s="66"/>
      <c r="E667" s="99"/>
      <c r="F667" s="66" t="b">
        <v>0</v>
      </c>
      <c r="G667" s="62"/>
    </row>
    <row r="668" spans="1:7" ht="13.2">
      <c r="A668" s="62"/>
      <c r="B668" s="96"/>
      <c r="C668" s="70"/>
      <c r="D668" s="70"/>
      <c r="E668" s="98"/>
      <c r="F668" s="70" t="b">
        <v>0</v>
      </c>
      <c r="G668" s="62"/>
    </row>
    <row r="669" spans="1:7" ht="13.2">
      <c r="A669" s="62"/>
      <c r="B669" s="90"/>
      <c r="C669" s="66"/>
      <c r="D669" s="66"/>
      <c r="E669" s="99"/>
      <c r="F669" s="66" t="b">
        <v>0</v>
      </c>
      <c r="G669" s="62"/>
    </row>
    <row r="670" spans="1:7" ht="13.2">
      <c r="A670" s="62"/>
      <c r="B670" s="96"/>
      <c r="C670" s="70"/>
      <c r="D670" s="70"/>
      <c r="E670" s="98"/>
      <c r="F670" s="70" t="b">
        <v>0</v>
      </c>
      <c r="G670" s="62"/>
    </row>
    <row r="671" spans="1:7" ht="13.2">
      <c r="A671" s="62"/>
      <c r="B671" s="90"/>
      <c r="C671" s="66"/>
      <c r="D671" s="66"/>
      <c r="E671" s="99"/>
      <c r="F671" s="66" t="b">
        <v>0</v>
      </c>
      <c r="G671" s="62"/>
    </row>
    <row r="672" spans="1:7" ht="13.2">
      <c r="A672" s="62"/>
      <c r="B672" s="96"/>
      <c r="C672" s="70"/>
      <c r="D672" s="70"/>
      <c r="E672" s="98"/>
      <c r="F672" s="70" t="b">
        <v>0</v>
      </c>
      <c r="G672" s="62"/>
    </row>
    <row r="673" spans="1:7" ht="13.2">
      <c r="A673" s="62"/>
      <c r="B673" s="90"/>
      <c r="C673" s="66"/>
      <c r="D673" s="66"/>
      <c r="E673" s="99"/>
      <c r="F673" s="66" t="b">
        <v>0</v>
      </c>
      <c r="G673" s="62"/>
    </row>
    <row r="674" spans="1:7" ht="13.2">
      <c r="A674" s="62"/>
      <c r="B674" s="96"/>
      <c r="C674" s="70"/>
      <c r="D674" s="70"/>
      <c r="E674" s="98"/>
      <c r="F674" s="70" t="b">
        <v>0</v>
      </c>
      <c r="G674" s="62"/>
    </row>
    <row r="675" spans="1:7" ht="13.2">
      <c r="A675" s="62"/>
      <c r="B675" s="90"/>
      <c r="C675" s="66"/>
      <c r="D675" s="66"/>
      <c r="E675" s="99"/>
      <c r="F675" s="66" t="b">
        <v>0</v>
      </c>
      <c r="G675" s="62"/>
    </row>
    <row r="676" spans="1:7" ht="13.2">
      <c r="A676" s="62"/>
      <c r="B676" s="96"/>
      <c r="C676" s="70"/>
      <c r="D676" s="70"/>
      <c r="E676" s="98"/>
      <c r="F676" s="70" t="b">
        <v>0</v>
      </c>
      <c r="G676" s="62"/>
    </row>
    <row r="677" spans="1:7" ht="13.2">
      <c r="A677" s="62"/>
      <c r="B677" s="90"/>
      <c r="C677" s="66"/>
      <c r="D677" s="66"/>
      <c r="E677" s="99"/>
      <c r="F677" s="66" t="b">
        <v>0</v>
      </c>
      <c r="G677" s="62"/>
    </row>
    <row r="678" spans="1:7" ht="13.2">
      <c r="A678" s="62"/>
      <c r="B678" s="96"/>
      <c r="C678" s="70"/>
      <c r="D678" s="70"/>
      <c r="E678" s="98"/>
      <c r="F678" s="70" t="b">
        <v>0</v>
      </c>
      <c r="G678" s="62"/>
    </row>
    <row r="679" spans="1:7" ht="13.2">
      <c r="A679" s="62"/>
      <c r="B679" s="90"/>
      <c r="C679" s="66"/>
      <c r="D679" s="66"/>
      <c r="E679" s="99"/>
      <c r="F679" s="66" t="b">
        <v>0</v>
      </c>
      <c r="G679" s="62"/>
    </row>
    <row r="680" spans="1:7" ht="13.2">
      <c r="A680" s="62"/>
      <c r="B680" s="96"/>
      <c r="C680" s="70"/>
      <c r="D680" s="70"/>
      <c r="E680" s="98"/>
      <c r="F680" s="70" t="b">
        <v>0</v>
      </c>
      <c r="G680" s="62"/>
    </row>
    <row r="681" spans="1:7" ht="13.2">
      <c r="A681" s="62"/>
      <c r="B681" s="90"/>
      <c r="C681" s="66"/>
      <c r="D681" s="66"/>
      <c r="E681" s="99"/>
      <c r="F681" s="66" t="b">
        <v>0</v>
      </c>
      <c r="G681" s="62"/>
    </row>
    <row r="682" spans="1:7" ht="13.2">
      <c r="A682" s="62"/>
      <c r="B682" s="96"/>
      <c r="C682" s="70"/>
      <c r="D682" s="70"/>
      <c r="E682" s="98"/>
      <c r="F682" s="70" t="b">
        <v>0</v>
      </c>
      <c r="G682" s="62"/>
    </row>
    <row r="683" spans="1:7" ht="13.2">
      <c r="A683" s="62"/>
      <c r="B683" s="90"/>
      <c r="C683" s="66"/>
      <c r="D683" s="66"/>
      <c r="E683" s="99"/>
      <c r="F683" s="66" t="b">
        <v>0</v>
      </c>
      <c r="G683" s="62"/>
    </row>
    <row r="684" spans="1:7" ht="13.2">
      <c r="A684" s="62"/>
      <c r="B684" s="96"/>
      <c r="C684" s="70"/>
      <c r="D684" s="70"/>
      <c r="E684" s="98"/>
      <c r="F684" s="70" t="b">
        <v>0</v>
      </c>
      <c r="G684" s="62"/>
    </row>
    <row r="685" spans="1:7" ht="13.2">
      <c r="A685" s="62"/>
      <c r="B685" s="90"/>
      <c r="C685" s="66"/>
      <c r="D685" s="66"/>
      <c r="E685" s="99"/>
      <c r="F685" s="66" t="b">
        <v>0</v>
      </c>
      <c r="G685" s="62"/>
    </row>
    <row r="686" spans="1:7" ht="13.2">
      <c r="A686" s="62"/>
      <c r="B686" s="96"/>
      <c r="C686" s="70"/>
      <c r="D686" s="70"/>
      <c r="E686" s="98"/>
      <c r="F686" s="70" t="b">
        <v>0</v>
      </c>
      <c r="G686" s="62"/>
    </row>
    <row r="687" spans="1:7" ht="13.2">
      <c r="A687" s="62"/>
      <c r="B687" s="90"/>
      <c r="C687" s="66"/>
      <c r="D687" s="66"/>
      <c r="E687" s="99"/>
      <c r="F687" s="66" t="b">
        <v>0</v>
      </c>
      <c r="G687" s="62"/>
    </row>
    <row r="688" spans="1:7" ht="13.2">
      <c r="A688" s="62"/>
      <c r="B688" s="96"/>
      <c r="C688" s="70"/>
      <c r="D688" s="70"/>
      <c r="E688" s="98"/>
      <c r="F688" s="70" t="b">
        <v>0</v>
      </c>
      <c r="G688" s="62"/>
    </row>
    <row r="689" spans="1:7" ht="13.2">
      <c r="A689" s="62"/>
      <c r="B689" s="90"/>
      <c r="C689" s="66"/>
      <c r="D689" s="66"/>
      <c r="E689" s="99"/>
      <c r="F689" s="66" t="b">
        <v>0</v>
      </c>
      <c r="G689" s="62"/>
    </row>
    <row r="690" spans="1:7" ht="13.2">
      <c r="A690" s="62"/>
      <c r="B690" s="96"/>
      <c r="C690" s="70"/>
      <c r="D690" s="70"/>
      <c r="E690" s="98"/>
      <c r="F690" s="70" t="b">
        <v>0</v>
      </c>
      <c r="G690" s="62"/>
    </row>
    <row r="691" spans="1:7" ht="13.2">
      <c r="A691" s="62"/>
      <c r="B691" s="90"/>
      <c r="C691" s="66"/>
      <c r="D691" s="66"/>
      <c r="E691" s="99"/>
      <c r="F691" s="66" t="b">
        <v>0</v>
      </c>
      <c r="G691" s="62"/>
    </row>
    <row r="692" spans="1:7" ht="13.2">
      <c r="A692" s="62"/>
      <c r="B692" s="96"/>
      <c r="C692" s="70"/>
      <c r="D692" s="70"/>
      <c r="E692" s="98"/>
      <c r="F692" s="70" t="b">
        <v>0</v>
      </c>
      <c r="G692" s="62"/>
    </row>
    <row r="693" spans="1:7" ht="13.2">
      <c r="A693" s="62"/>
      <c r="B693" s="90"/>
      <c r="C693" s="66"/>
      <c r="D693" s="66"/>
      <c r="E693" s="99"/>
      <c r="F693" s="66" t="b">
        <v>0</v>
      </c>
      <c r="G693" s="62"/>
    </row>
    <row r="694" spans="1:7" ht="13.2">
      <c r="A694" s="62"/>
      <c r="B694" s="96"/>
      <c r="C694" s="70"/>
      <c r="D694" s="70"/>
      <c r="E694" s="98"/>
      <c r="F694" s="70" t="b">
        <v>0</v>
      </c>
      <c r="G694" s="62"/>
    </row>
    <row r="695" spans="1:7" ht="13.2">
      <c r="A695" s="62"/>
      <c r="B695" s="90"/>
      <c r="C695" s="66"/>
      <c r="D695" s="66"/>
      <c r="E695" s="99"/>
      <c r="F695" s="66" t="b">
        <v>0</v>
      </c>
      <c r="G695" s="62"/>
    </row>
    <row r="696" spans="1:7" ht="13.2">
      <c r="A696" s="62"/>
      <c r="B696" s="96"/>
      <c r="C696" s="70"/>
      <c r="D696" s="70"/>
      <c r="E696" s="98"/>
      <c r="F696" s="70" t="b">
        <v>0</v>
      </c>
      <c r="G696" s="62"/>
    </row>
    <row r="697" spans="1:7" ht="13.2">
      <c r="A697" s="62"/>
      <c r="B697" s="90"/>
      <c r="C697" s="66"/>
      <c r="D697" s="66"/>
      <c r="E697" s="99"/>
      <c r="F697" s="66" t="b">
        <v>0</v>
      </c>
      <c r="G697" s="62"/>
    </row>
    <row r="698" spans="1:7" ht="13.2">
      <c r="A698" s="62"/>
      <c r="B698" s="96"/>
      <c r="C698" s="70"/>
      <c r="D698" s="70"/>
      <c r="E698" s="98"/>
      <c r="F698" s="70" t="b">
        <v>0</v>
      </c>
      <c r="G698" s="62"/>
    </row>
    <row r="699" spans="1:7" ht="13.2">
      <c r="A699" s="62"/>
      <c r="B699" s="90"/>
      <c r="C699" s="66"/>
      <c r="D699" s="66"/>
      <c r="E699" s="99"/>
      <c r="F699" s="66" t="b">
        <v>0</v>
      </c>
      <c r="G699" s="62"/>
    </row>
    <row r="700" spans="1:7" ht="13.2">
      <c r="A700" s="62"/>
      <c r="B700" s="96"/>
      <c r="C700" s="70"/>
      <c r="D700" s="70"/>
      <c r="E700" s="98"/>
      <c r="F700" s="70" t="b">
        <v>0</v>
      </c>
      <c r="G700" s="62"/>
    </row>
    <row r="701" spans="1:7" ht="13.2">
      <c r="A701" s="62"/>
      <c r="B701" s="90"/>
      <c r="C701" s="66"/>
      <c r="D701" s="66"/>
      <c r="E701" s="99"/>
      <c r="F701" s="66" t="b">
        <v>0</v>
      </c>
      <c r="G701" s="62"/>
    </row>
    <row r="702" spans="1:7" ht="13.2">
      <c r="A702" s="62"/>
      <c r="B702" s="96"/>
      <c r="C702" s="70"/>
      <c r="D702" s="70"/>
      <c r="E702" s="98"/>
      <c r="F702" s="70" t="b">
        <v>0</v>
      </c>
      <c r="G702" s="62"/>
    </row>
    <row r="703" spans="1:7" ht="13.2">
      <c r="A703" s="62"/>
      <c r="B703" s="90"/>
      <c r="C703" s="66"/>
      <c r="D703" s="66"/>
      <c r="E703" s="99"/>
      <c r="F703" s="66" t="b">
        <v>0</v>
      </c>
      <c r="G703" s="62"/>
    </row>
    <row r="704" spans="1:7" ht="13.2">
      <c r="A704" s="62"/>
      <c r="B704" s="96"/>
      <c r="C704" s="70"/>
      <c r="D704" s="70"/>
      <c r="E704" s="98"/>
      <c r="F704" s="70" t="b">
        <v>0</v>
      </c>
      <c r="G704" s="62"/>
    </row>
    <row r="705" spans="1:7" ht="13.2">
      <c r="A705" s="62"/>
      <c r="B705" s="90"/>
      <c r="C705" s="66"/>
      <c r="D705" s="66"/>
      <c r="E705" s="99"/>
      <c r="F705" s="66" t="b">
        <v>0</v>
      </c>
      <c r="G705" s="62"/>
    </row>
    <row r="706" spans="1:7" ht="13.2">
      <c r="A706" s="62"/>
      <c r="B706" s="96"/>
      <c r="C706" s="70"/>
      <c r="D706" s="70"/>
      <c r="E706" s="98"/>
      <c r="F706" s="70" t="b">
        <v>0</v>
      </c>
      <c r="G706" s="62"/>
    </row>
    <row r="707" spans="1:7" ht="13.2">
      <c r="A707" s="62"/>
      <c r="B707" s="90"/>
      <c r="C707" s="66"/>
      <c r="D707" s="66"/>
      <c r="E707" s="99"/>
      <c r="F707" s="66" t="b">
        <v>0</v>
      </c>
      <c r="G707" s="62"/>
    </row>
    <row r="708" spans="1:7" ht="13.2">
      <c r="A708" s="62"/>
      <c r="B708" s="96"/>
      <c r="C708" s="70"/>
      <c r="D708" s="70"/>
      <c r="E708" s="98"/>
      <c r="F708" s="70" t="b">
        <v>0</v>
      </c>
      <c r="G708" s="62"/>
    </row>
    <row r="709" spans="1:7" ht="13.2">
      <c r="A709" s="62"/>
      <c r="B709" s="90"/>
      <c r="C709" s="66"/>
      <c r="D709" s="66"/>
      <c r="E709" s="99"/>
      <c r="F709" s="66" t="b">
        <v>0</v>
      </c>
      <c r="G709" s="62"/>
    </row>
    <row r="710" spans="1:7" ht="13.2">
      <c r="A710" s="62"/>
      <c r="B710" s="96"/>
      <c r="C710" s="70"/>
      <c r="D710" s="70"/>
      <c r="E710" s="98"/>
      <c r="F710" s="70" t="b">
        <v>0</v>
      </c>
      <c r="G710" s="62"/>
    </row>
    <row r="711" spans="1:7" ht="13.2">
      <c r="A711" s="62"/>
      <c r="B711" s="90"/>
      <c r="C711" s="66"/>
      <c r="D711" s="66"/>
      <c r="E711" s="99"/>
      <c r="F711" s="66" t="b">
        <v>0</v>
      </c>
      <c r="G711" s="62"/>
    </row>
    <row r="712" spans="1:7" ht="13.2">
      <c r="A712" s="62"/>
      <c r="B712" s="96"/>
      <c r="C712" s="70"/>
      <c r="D712" s="70"/>
      <c r="E712" s="98"/>
      <c r="F712" s="70" t="b">
        <v>0</v>
      </c>
      <c r="G712" s="62"/>
    </row>
    <row r="713" spans="1:7" ht="13.2">
      <c r="A713" s="62"/>
      <c r="B713" s="90"/>
      <c r="C713" s="66"/>
      <c r="D713" s="66"/>
      <c r="E713" s="99"/>
      <c r="F713" s="66" t="b">
        <v>0</v>
      </c>
      <c r="G713" s="62"/>
    </row>
    <row r="714" spans="1:7" ht="13.2">
      <c r="A714" s="62"/>
      <c r="B714" s="96"/>
      <c r="C714" s="70"/>
      <c r="D714" s="70"/>
      <c r="E714" s="98"/>
      <c r="F714" s="70" t="b">
        <v>0</v>
      </c>
      <c r="G714" s="62"/>
    </row>
    <row r="715" spans="1:7" ht="13.2">
      <c r="A715" s="62"/>
      <c r="B715" s="90"/>
      <c r="C715" s="66"/>
      <c r="D715" s="66"/>
      <c r="E715" s="99"/>
      <c r="F715" s="66" t="b">
        <v>0</v>
      </c>
      <c r="G715" s="62"/>
    </row>
    <row r="716" spans="1:7" ht="13.2">
      <c r="A716" s="62"/>
      <c r="B716" s="96"/>
      <c r="C716" s="70"/>
      <c r="D716" s="70"/>
      <c r="E716" s="98"/>
      <c r="F716" s="70" t="b">
        <v>0</v>
      </c>
      <c r="G716" s="62"/>
    </row>
    <row r="717" spans="1:7" ht="13.2">
      <c r="A717" s="62"/>
      <c r="B717" s="90"/>
      <c r="C717" s="66"/>
      <c r="D717" s="66"/>
      <c r="E717" s="99"/>
      <c r="F717" s="66" t="b">
        <v>0</v>
      </c>
      <c r="G717" s="62"/>
    </row>
    <row r="718" spans="1:7" ht="13.2">
      <c r="A718" s="62"/>
      <c r="B718" s="96"/>
      <c r="C718" s="70"/>
      <c r="D718" s="70"/>
      <c r="E718" s="98"/>
      <c r="F718" s="70" t="b">
        <v>0</v>
      </c>
      <c r="G718" s="62"/>
    </row>
    <row r="719" spans="1:7" ht="13.2">
      <c r="A719" s="62"/>
      <c r="B719" s="90"/>
      <c r="C719" s="66"/>
      <c r="D719" s="66"/>
      <c r="E719" s="99"/>
      <c r="F719" s="66" t="b">
        <v>0</v>
      </c>
      <c r="G719" s="62"/>
    </row>
    <row r="720" spans="1:7" ht="13.2">
      <c r="A720" s="62"/>
      <c r="B720" s="96"/>
      <c r="C720" s="70"/>
      <c r="D720" s="70"/>
      <c r="E720" s="98"/>
      <c r="F720" s="70" t="b">
        <v>0</v>
      </c>
      <c r="G720" s="62"/>
    </row>
    <row r="721" spans="1:7" ht="13.2">
      <c r="A721" s="62"/>
      <c r="B721" s="90"/>
      <c r="C721" s="66"/>
      <c r="D721" s="66"/>
      <c r="E721" s="99"/>
      <c r="F721" s="66" t="b">
        <v>0</v>
      </c>
      <c r="G721" s="62"/>
    </row>
    <row r="722" spans="1:7" ht="13.2">
      <c r="A722" s="62"/>
      <c r="B722" s="96"/>
      <c r="C722" s="70"/>
      <c r="D722" s="70"/>
      <c r="E722" s="98"/>
      <c r="F722" s="70" t="b">
        <v>0</v>
      </c>
      <c r="G722" s="62"/>
    </row>
    <row r="723" spans="1:7" ht="13.2">
      <c r="A723" s="62"/>
      <c r="B723" s="90"/>
      <c r="C723" s="66"/>
      <c r="D723" s="66"/>
      <c r="E723" s="99"/>
      <c r="F723" s="66" t="b">
        <v>0</v>
      </c>
      <c r="G723" s="62"/>
    </row>
    <row r="724" spans="1:7" ht="13.2">
      <c r="A724" s="62"/>
      <c r="B724" s="96"/>
      <c r="C724" s="70"/>
      <c r="D724" s="70"/>
      <c r="E724" s="98"/>
      <c r="F724" s="70" t="b">
        <v>0</v>
      </c>
      <c r="G724" s="62"/>
    </row>
    <row r="725" spans="1:7" ht="13.2">
      <c r="A725" s="62"/>
      <c r="B725" s="90"/>
      <c r="C725" s="66"/>
      <c r="D725" s="66"/>
      <c r="E725" s="99"/>
      <c r="F725" s="66" t="b">
        <v>0</v>
      </c>
      <c r="G725" s="62"/>
    </row>
    <row r="726" spans="1:7" ht="13.2">
      <c r="A726" s="62"/>
      <c r="B726" s="96"/>
      <c r="C726" s="70"/>
      <c r="D726" s="70"/>
      <c r="E726" s="98"/>
      <c r="F726" s="70" t="b">
        <v>0</v>
      </c>
      <c r="G726" s="62"/>
    </row>
    <row r="727" spans="1:7" ht="13.2">
      <c r="A727" s="62"/>
      <c r="B727" s="90"/>
      <c r="C727" s="66"/>
      <c r="D727" s="66"/>
      <c r="E727" s="99"/>
      <c r="F727" s="66" t="b">
        <v>0</v>
      </c>
      <c r="G727" s="62"/>
    </row>
    <row r="728" spans="1:7" ht="13.2">
      <c r="A728" s="62"/>
      <c r="B728" s="96"/>
      <c r="C728" s="70"/>
      <c r="D728" s="70"/>
      <c r="E728" s="98"/>
      <c r="F728" s="70" t="b">
        <v>0</v>
      </c>
      <c r="G728" s="62"/>
    </row>
    <row r="729" spans="1:7" ht="13.2">
      <c r="A729" s="62"/>
      <c r="B729" s="90"/>
      <c r="C729" s="66"/>
      <c r="D729" s="66"/>
      <c r="E729" s="99"/>
      <c r="F729" s="66" t="b">
        <v>0</v>
      </c>
      <c r="G729" s="62"/>
    </row>
    <row r="730" spans="1:7" ht="13.2">
      <c r="A730" s="62"/>
      <c r="B730" s="96"/>
      <c r="C730" s="70"/>
      <c r="D730" s="70"/>
      <c r="E730" s="98"/>
      <c r="F730" s="70" t="b">
        <v>0</v>
      </c>
      <c r="G730" s="62"/>
    </row>
    <row r="731" spans="1:7" ht="13.2">
      <c r="A731" s="62"/>
      <c r="B731" s="90"/>
      <c r="C731" s="66"/>
      <c r="D731" s="66"/>
      <c r="E731" s="99"/>
      <c r="F731" s="66" t="b">
        <v>0</v>
      </c>
      <c r="G731" s="62"/>
    </row>
    <row r="732" spans="1:7" ht="13.2">
      <c r="A732" s="62"/>
      <c r="B732" s="96"/>
      <c r="C732" s="70"/>
      <c r="D732" s="70"/>
      <c r="E732" s="98"/>
      <c r="F732" s="70" t="b">
        <v>0</v>
      </c>
      <c r="G732" s="62"/>
    </row>
    <row r="733" spans="1:7" ht="13.2">
      <c r="A733" s="62"/>
      <c r="B733" s="90"/>
      <c r="C733" s="66"/>
      <c r="D733" s="66"/>
      <c r="E733" s="99"/>
      <c r="F733" s="66" t="b">
        <v>0</v>
      </c>
      <c r="G733" s="62"/>
    </row>
    <row r="734" spans="1:7" ht="13.2">
      <c r="A734" s="62"/>
      <c r="B734" s="96"/>
      <c r="C734" s="70"/>
      <c r="D734" s="70"/>
      <c r="E734" s="98"/>
      <c r="F734" s="70" t="b">
        <v>0</v>
      </c>
      <c r="G734" s="62"/>
    </row>
    <row r="735" spans="1:7" ht="13.2">
      <c r="A735" s="62"/>
      <c r="B735" s="90"/>
      <c r="C735" s="66"/>
      <c r="D735" s="66"/>
      <c r="E735" s="99"/>
      <c r="F735" s="66" t="b">
        <v>0</v>
      </c>
      <c r="G735" s="62"/>
    </row>
    <row r="736" spans="1:7" ht="13.2">
      <c r="A736" s="62"/>
      <c r="B736" s="96"/>
      <c r="C736" s="70"/>
      <c r="D736" s="70"/>
      <c r="E736" s="98"/>
      <c r="F736" s="70" t="b">
        <v>0</v>
      </c>
      <c r="G736" s="62"/>
    </row>
    <row r="737" spans="1:7" ht="13.2">
      <c r="A737" s="62"/>
      <c r="B737" s="90"/>
      <c r="C737" s="66"/>
      <c r="D737" s="66"/>
      <c r="E737" s="99"/>
      <c r="F737" s="66" t="b">
        <v>0</v>
      </c>
      <c r="G737" s="62"/>
    </row>
    <row r="738" spans="1:7" ht="13.2">
      <c r="A738" s="62"/>
      <c r="B738" s="96"/>
      <c r="C738" s="70"/>
      <c r="D738" s="70"/>
      <c r="E738" s="98"/>
      <c r="F738" s="70" t="b">
        <v>0</v>
      </c>
      <c r="G738" s="62"/>
    </row>
    <row r="739" spans="1:7" ht="13.2">
      <c r="A739" s="62"/>
      <c r="B739" s="90"/>
      <c r="C739" s="66"/>
      <c r="D739" s="66"/>
      <c r="E739" s="99"/>
      <c r="F739" s="66" t="b">
        <v>0</v>
      </c>
      <c r="G739" s="62"/>
    </row>
    <row r="740" spans="1:7" ht="13.2">
      <c r="A740" s="62"/>
      <c r="B740" s="96"/>
      <c r="C740" s="70"/>
      <c r="D740" s="70"/>
      <c r="E740" s="98"/>
      <c r="F740" s="70" t="b">
        <v>0</v>
      </c>
      <c r="G740" s="62"/>
    </row>
    <row r="741" spans="1:7" ht="13.2">
      <c r="A741" s="62"/>
      <c r="B741" s="90"/>
      <c r="C741" s="66"/>
      <c r="D741" s="66"/>
      <c r="E741" s="99"/>
      <c r="F741" s="66" t="b">
        <v>0</v>
      </c>
      <c r="G741" s="62"/>
    </row>
    <row r="742" spans="1:7" ht="13.2">
      <c r="A742" s="62"/>
      <c r="B742" s="96"/>
      <c r="C742" s="70"/>
      <c r="D742" s="70"/>
      <c r="E742" s="98"/>
      <c r="F742" s="70" t="b">
        <v>0</v>
      </c>
      <c r="G742" s="62"/>
    </row>
    <row r="743" spans="1:7" ht="13.2">
      <c r="A743" s="62"/>
      <c r="B743" s="90"/>
      <c r="C743" s="66"/>
      <c r="D743" s="66"/>
      <c r="E743" s="99"/>
      <c r="F743" s="66" t="b">
        <v>0</v>
      </c>
      <c r="G743" s="62"/>
    </row>
    <row r="744" spans="1:7" ht="13.2">
      <c r="A744" s="62"/>
      <c r="B744" s="96"/>
      <c r="C744" s="70"/>
      <c r="D744" s="70"/>
      <c r="E744" s="98"/>
      <c r="F744" s="70" t="b">
        <v>0</v>
      </c>
      <c r="G744" s="62"/>
    </row>
    <row r="745" spans="1:7" ht="13.2">
      <c r="A745" s="62"/>
      <c r="B745" s="90"/>
      <c r="C745" s="66"/>
      <c r="D745" s="66"/>
      <c r="E745" s="99"/>
      <c r="F745" s="66" t="b">
        <v>0</v>
      </c>
      <c r="G745" s="62"/>
    </row>
    <row r="746" spans="1:7" ht="13.2">
      <c r="A746" s="62"/>
      <c r="B746" s="96"/>
      <c r="C746" s="70"/>
      <c r="D746" s="70"/>
      <c r="E746" s="98"/>
      <c r="F746" s="70" t="b">
        <v>0</v>
      </c>
      <c r="G746" s="62"/>
    </row>
    <row r="747" spans="1:7" ht="13.2">
      <c r="A747" s="62"/>
      <c r="B747" s="90"/>
      <c r="C747" s="66"/>
      <c r="D747" s="66"/>
      <c r="E747" s="99"/>
      <c r="F747" s="66" t="b">
        <v>0</v>
      </c>
      <c r="G747" s="62"/>
    </row>
    <row r="748" spans="1:7" ht="13.2">
      <c r="A748" s="62"/>
      <c r="B748" s="96"/>
      <c r="C748" s="70"/>
      <c r="D748" s="70"/>
      <c r="E748" s="98"/>
      <c r="F748" s="70" t="b">
        <v>0</v>
      </c>
      <c r="G748" s="62"/>
    </row>
    <row r="749" spans="1:7" ht="13.2">
      <c r="A749" s="62"/>
      <c r="B749" s="90"/>
      <c r="C749" s="66"/>
      <c r="D749" s="66"/>
      <c r="E749" s="99"/>
      <c r="F749" s="66" t="b">
        <v>0</v>
      </c>
      <c r="G749" s="62"/>
    </row>
    <row r="750" spans="1:7" ht="13.2">
      <c r="A750" s="62"/>
      <c r="B750" s="96"/>
      <c r="C750" s="70"/>
      <c r="D750" s="70"/>
      <c r="E750" s="98"/>
      <c r="F750" s="70" t="b">
        <v>0</v>
      </c>
      <c r="G750" s="62"/>
    </row>
    <row r="751" spans="1:7" ht="13.2">
      <c r="A751" s="62"/>
      <c r="B751" s="90"/>
      <c r="C751" s="66"/>
      <c r="D751" s="66"/>
      <c r="E751" s="99"/>
      <c r="F751" s="66" t="b">
        <v>0</v>
      </c>
      <c r="G751" s="62"/>
    </row>
    <row r="752" spans="1:7" ht="13.2">
      <c r="A752" s="62"/>
      <c r="B752" s="96"/>
      <c r="C752" s="70"/>
      <c r="D752" s="70"/>
      <c r="E752" s="98"/>
      <c r="F752" s="70" t="b">
        <v>0</v>
      </c>
      <c r="G752" s="62"/>
    </row>
    <row r="753" spans="1:7" ht="13.2">
      <c r="A753" s="62"/>
      <c r="B753" s="90"/>
      <c r="C753" s="66"/>
      <c r="D753" s="66"/>
      <c r="E753" s="99"/>
      <c r="F753" s="66" t="b">
        <v>0</v>
      </c>
      <c r="G753" s="62"/>
    </row>
    <row r="754" spans="1:7" ht="13.2">
      <c r="A754" s="62"/>
      <c r="B754" s="96"/>
      <c r="C754" s="70"/>
      <c r="D754" s="70"/>
      <c r="E754" s="98"/>
      <c r="F754" s="70" t="b">
        <v>0</v>
      </c>
      <c r="G754" s="62"/>
    </row>
    <row r="755" spans="1:7" ht="13.2">
      <c r="A755" s="62"/>
      <c r="B755" s="90"/>
      <c r="C755" s="66"/>
      <c r="D755" s="66"/>
      <c r="E755" s="99"/>
      <c r="F755" s="66" t="b">
        <v>0</v>
      </c>
      <c r="G755" s="62"/>
    </row>
    <row r="756" spans="1:7" ht="13.2">
      <c r="A756" s="62"/>
      <c r="B756" s="96"/>
      <c r="C756" s="70"/>
      <c r="D756" s="70"/>
      <c r="E756" s="98"/>
      <c r="F756" s="70" t="b">
        <v>0</v>
      </c>
      <c r="G756" s="62"/>
    </row>
    <row r="757" spans="1:7" ht="13.2">
      <c r="A757" s="62"/>
      <c r="B757" s="90"/>
      <c r="C757" s="66"/>
      <c r="D757" s="66"/>
      <c r="E757" s="99"/>
      <c r="F757" s="66" t="b">
        <v>0</v>
      </c>
      <c r="G757" s="62"/>
    </row>
    <row r="758" spans="1:7" ht="13.2">
      <c r="A758" s="62"/>
      <c r="B758" s="96"/>
      <c r="C758" s="70"/>
      <c r="D758" s="70"/>
      <c r="E758" s="98"/>
      <c r="F758" s="70" t="b">
        <v>0</v>
      </c>
      <c r="G758" s="62"/>
    </row>
    <row r="759" spans="1:7" ht="13.2">
      <c r="A759" s="62"/>
      <c r="B759" s="90"/>
      <c r="C759" s="66"/>
      <c r="D759" s="66"/>
      <c r="E759" s="99"/>
      <c r="F759" s="66" t="b">
        <v>0</v>
      </c>
      <c r="G759" s="62"/>
    </row>
    <row r="760" spans="1:7" ht="13.2">
      <c r="A760" s="62"/>
      <c r="B760" s="96"/>
      <c r="C760" s="70"/>
      <c r="D760" s="70"/>
      <c r="E760" s="98"/>
      <c r="F760" s="70" t="b">
        <v>0</v>
      </c>
      <c r="G760" s="62"/>
    </row>
    <row r="761" spans="1:7" ht="13.2">
      <c r="A761" s="62"/>
      <c r="B761" s="90"/>
      <c r="C761" s="66"/>
      <c r="D761" s="66"/>
      <c r="E761" s="99"/>
      <c r="F761" s="66" t="b">
        <v>0</v>
      </c>
      <c r="G761" s="62"/>
    </row>
    <row r="762" spans="1:7" ht="13.2">
      <c r="A762" s="62"/>
      <c r="B762" s="96"/>
      <c r="C762" s="70"/>
      <c r="D762" s="70"/>
      <c r="E762" s="98"/>
      <c r="F762" s="70" t="b">
        <v>0</v>
      </c>
      <c r="G762" s="62"/>
    </row>
    <row r="763" spans="1:7" ht="13.2">
      <c r="A763" s="62"/>
      <c r="B763" s="90"/>
      <c r="C763" s="66"/>
      <c r="D763" s="66"/>
      <c r="E763" s="99"/>
      <c r="F763" s="66" t="b">
        <v>0</v>
      </c>
      <c r="G763" s="62"/>
    </row>
    <row r="764" spans="1:7" ht="13.2">
      <c r="A764" s="62"/>
      <c r="B764" s="96"/>
      <c r="C764" s="70"/>
      <c r="D764" s="70"/>
      <c r="E764" s="98"/>
      <c r="F764" s="70" t="b">
        <v>0</v>
      </c>
      <c r="G764" s="62"/>
    </row>
    <row r="765" spans="1:7" ht="13.2">
      <c r="A765" s="62"/>
      <c r="B765" s="90"/>
      <c r="C765" s="66"/>
      <c r="D765" s="66"/>
      <c r="E765" s="99"/>
      <c r="F765" s="66" t="b">
        <v>0</v>
      </c>
      <c r="G765" s="62"/>
    </row>
    <row r="766" spans="1:7" ht="13.2">
      <c r="A766" s="62"/>
      <c r="B766" s="96"/>
      <c r="C766" s="70"/>
      <c r="D766" s="70"/>
      <c r="E766" s="98"/>
      <c r="F766" s="70" t="b">
        <v>0</v>
      </c>
      <c r="G766" s="62"/>
    </row>
    <row r="767" spans="1:7" ht="13.2">
      <c r="A767" s="62"/>
      <c r="B767" s="90"/>
      <c r="C767" s="66"/>
      <c r="D767" s="66"/>
      <c r="E767" s="99"/>
      <c r="F767" s="66" t="b">
        <v>0</v>
      </c>
      <c r="G767" s="62"/>
    </row>
    <row r="768" spans="1:7" ht="13.2">
      <c r="A768" s="62"/>
      <c r="B768" s="96"/>
      <c r="C768" s="70"/>
      <c r="D768" s="70"/>
      <c r="E768" s="98"/>
      <c r="F768" s="70" t="b">
        <v>0</v>
      </c>
      <c r="G768" s="62"/>
    </row>
    <row r="769" spans="1:7" ht="13.2">
      <c r="A769" s="62"/>
      <c r="B769" s="90"/>
      <c r="C769" s="66"/>
      <c r="D769" s="66"/>
      <c r="E769" s="99"/>
      <c r="F769" s="66" t="b">
        <v>0</v>
      </c>
      <c r="G769" s="62"/>
    </row>
    <row r="770" spans="1:7" ht="13.2">
      <c r="A770" s="62"/>
      <c r="B770" s="96"/>
      <c r="C770" s="70"/>
      <c r="D770" s="70"/>
      <c r="E770" s="98"/>
      <c r="F770" s="70" t="b">
        <v>0</v>
      </c>
      <c r="G770" s="62"/>
    </row>
    <row r="771" spans="1:7" ht="13.2">
      <c r="A771" s="62"/>
      <c r="B771" s="90"/>
      <c r="C771" s="66"/>
      <c r="D771" s="66"/>
      <c r="E771" s="99"/>
      <c r="F771" s="66" t="b">
        <v>0</v>
      </c>
      <c r="G771" s="62"/>
    </row>
    <row r="772" spans="1:7" ht="13.2">
      <c r="A772" s="62"/>
      <c r="B772" s="96"/>
      <c r="C772" s="70"/>
      <c r="D772" s="70"/>
      <c r="E772" s="98"/>
      <c r="F772" s="70" t="b">
        <v>0</v>
      </c>
      <c r="G772" s="62"/>
    </row>
    <row r="773" spans="1:7" ht="13.2">
      <c r="A773" s="62"/>
      <c r="B773" s="90"/>
      <c r="C773" s="66"/>
      <c r="D773" s="66"/>
      <c r="E773" s="99"/>
      <c r="F773" s="66" t="b">
        <v>0</v>
      </c>
      <c r="G773" s="62"/>
    </row>
    <row r="774" spans="1:7" ht="13.2">
      <c r="A774" s="62"/>
      <c r="B774" s="96"/>
      <c r="C774" s="70"/>
      <c r="D774" s="70"/>
      <c r="E774" s="98"/>
      <c r="F774" s="70" t="b">
        <v>0</v>
      </c>
      <c r="G774" s="62"/>
    </row>
    <row r="775" spans="1:7" ht="13.2">
      <c r="A775" s="62"/>
      <c r="B775" s="90"/>
      <c r="C775" s="66"/>
      <c r="D775" s="66"/>
      <c r="E775" s="99"/>
      <c r="F775" s="66" t="b">
        <v>0</v>
      </c>
      <c r="G775" s="62"/>
    </row>
    <row r="776" spans="1:7" ht="13.2">
      <c r="A776" s="62"/>
      <c r="B776" s="96"/>
      <c r="C776" s="70"/>
      <c r="D776" s="70"/>
      <c r="E776" s="98"/>
      <c r="F776" s="70" t="b">
        <v>0</v>
      </c>
      <c r="G776" s="62"/>
    </row>
    <row r="777" spans="1:7" ht="13.2">
      <c r="A777" s="62"/>
      <c r="B777" s="90"/>
      <c r="C777" s="66"/>
      <c r="D777" s="66"/>
      <c r="E777" s="99"/>
      <c r="F777" s="66" t="b">
        <v>0</v>
      </c>
      <c r="G777" s="62"/>
    </row>
    <row r="778" spans="1:7" ht="13.2">
      <c r="A778" s="62"/>
      <c r="B778" s="96"/>
      <c r="C778" s="70"/>
      <c r="D778" s="70"/>
      <c r="E778" s="98"/>
      <c r="F778" s="70" t="b">
        <v>0</v>
      </c>
      <c r="G778" s="62"/>
    </row>
    <row r="779" spans="1:7" ht="13.2">
      <c r="A779" s="62"/>
      <c r="B779" s="90"/>
      <c r="C779" s="66"/>
      <c r="D779" s="66"/>
      <c r="E779" s="99"/>
      <c r="F779" s="66" t="b">
        <v>0</v>
      </c>
      <c r="G779" s="62"/>
    </row>
    <row r="780" spans="1:7" ht="13.2">
      <c r="A780" s="62"/>
      <c r="B780" s="96"/>
      <c r="C780" s="70"/>
      <c r="D780" s="70"/>
      <c r="E780" s="98"/>
      <c r="F780" s="70" t="b">
        <v>0</v>
      </c>
      <c r="G780" s="62"/>
    </row>
    <row r="781" spans="1:7" ht="13.2">
      <c r="A781" s="62"/>
      <c r="B781" s="90"/>
      <c r="C781" s="66"/>
      <c r="D781" s="66"/>
      <c r="E781" s="99"/>
      <c r="F781" s="66" t="b">
        <v>0</v>
      </c>
      <c r="G781" s="62"/>
    </row>
    <row r="782" spans="1:7" ht="13.2">
      <c r="A782" s="62"/>
      <c r="B782" s="96"/>
      <c r="C782" s="70"/>
      <c r="D782" s="70"/>
      <c r="E782" s="98"/>
      <c r="F782" s="70" t="b">
        <v>0</v>
      </c>
      <c r="G782" s="62"/>
    </row>
    <row r="783" spans="1:7" ht="13.2">
      <c r="A783" s="62"/>
      <c r="B783" s="90"/>
      <c r="C783" s="66"/>
      <c r="D783" s="66"/>
      <c r="E783" s="99"/>
      <c r="F783" s="66" t="b">
        <v>0</v>
      </c>
      <c r="G783" s="62"/>
    </row>
    <row r="784" spans="1:7" ht="13.2">
      <c r="A784" s="62"/>
      <c r="B784" s="96"/>
      <c r="C784" s="70"/>
      <c r="D784" s="70"/>
      <c r="E784" s="98"/>
      <c r="F784" s="70" t="b">
        <v>0</v>
      </c>
      <c r="G784" s="62"/>
    </row>
    <row r="785" spans="1:7" ht="13.2">
      <c r="A785" s="62"/>
      <c r="B785" s="90"/>
      <c r="C785" s="66"/>
      <c r="D785" s="66"/>
      <c r="E785" s="99"/>
      <c r="F785" s="66" t="b">
        <v>0</v>
      </c>
      <c r="G785" s="62"/>
    </row>
    <row r="786" spans="1:7" ht="13.2">
      <c r="A786" s="62"/>
      <c r="B786" s="96"/>
      <c r="C786" s="70"/>
      <c r="D786" s="70"/>
      <c r="E786" s="98"/>
      <c r="F786" s="70" t="b">
        <v>0</v>
      </c>
      <c r="G786" s="62"/>
    </row>
    <row r="787" spans="1:7" ht="13.2">
      <c r="A787" s="62"/>
      <c r="B787" s="90"/>
      <c r="C787" s="66"/>
      <c r="D787" s="66"/>
      <c r="E787" s="99"/>
      <c r="F787" s="66" t="b">
        <v>0</v>
      </c>
      <c r="G787" s="62"/>
    </row>
    <row r="788" spans="1:7" ht="13.2">
      <c r="A788" s="62"/>
      <c r="B788" s="96"/>
      <c r="C788" s="70"/>
      <c r="D788" s="70"/>
      <c r="E788" s="98"/>
      <c r="F788" s="70" t="b">
        <v>0</v>
      </c>
      <c r="G788" s="62"/>
    </row>
    <row r="789" spans="1:7" ht="13.2">
      <c r="A789" s="62"/>
      <c r="B789" s="90"/>
      <c r="C789" s="66"/>
      <c r="D789" s="66"/>
      <c r="E789" s="99"/>
      <c r="F789" s="66" t="b">
        <v>0</v>
      </c>
      <c r="G789" s="62"/>
    </row>
    <row r="790" spans="1:7" ht="13.2">
      <c r="A790" s="62"/>
      <c r="B790" s="96"/>
      <c r="C790" s="70"/>
      <c r="D790" s="70"/>
      <c r="E790" s="98"/>
      <c r="F790" s="70" t="b">
        <v>0</v>
      </c>
      <c r="G790" s="62"/>
    </row>
    <row r="791" spans="1:7" ht="13.2">
      <c r="A791" s="62"/>
      <c r="B791" s="90"/>
      <c r="C791" s="66"/>
      <c r="D791" s="66"/>
      <c r="E791" s="99"/>
      <c r="F791" s="66" t="b">
        <v>0</v>
      </c>
      <c r="G791" s="62"/>
    </row>
    <row r="792" spans="1:7" ht="13.2">
      <c r="A792" s="62"/>
      <c r="B792" s="96"/>
      <c r="C792" s="70"/>
      <c r="D792" s="70"/>
      <c r="E792" s="98"/>
      <c r="F792" s="70" t="b">
        <v>0</v>
      </c>
      <c r="G792" s="62"/>
    </row>
    <row r="793" spans="1:7" ht="13.2">
      <c r="A793" s="62"/>
      <c r="B793" s="90"/>
      <c r="C793" s="66"/>
      <c r="D793" s="66"/>
      <c r="E793" s="99"/>
      <c r="F793" s="66" t="b">
        <v>0</v>
      </c>
      <c r="G793" s="62"/>
    </row>
    <row r="794" spans="1:7" ht="13.2">
      <c r="A794" s="62"/>
      <c r="B794" s="96"/>
      <c r="C794" s="70"/>
      <c r="D794" s="70"/>
      <c r="E794" s="98"/>
      <c r="F794" s="70" t="b">
        <v>0</v>
      </c>
      <c r="G794" s="62"/>
    </row>
    <row r="795" spans="1:7" ht="13.2">
      <c r="A795" s="62"/>
      <c r="B795" s="90"/>
      <c r="C795" s="66"/>
      <c r="D795" s="66"/>
      <c r="E795" s="99"/>
      <c r="F795" s="66" t="b">
        <v>0</v>
      </c>
      <c r="G795" s="62"/>
    </row>
    <row r="796" spans="1:7" ht="13.2">
      <c r="A796" s="62"/>
      <c r="B796" s="96"/>
      <c r="C796" s="70"/>
      <c r="D796" s="70"/>
      <c r="E796" s="98"/>
      <c r="F796" s="70" t="b">
        <v>0</v>
      </c>
      <c r="G796" s="62"/>
    </row>
    <row r="797" spans="1:7" ht="13.2">
      <c r="A797" s="62"/>
      <c r="B797" s="90"/>
      <c r="C797" s="66"/>
      <c r="D797" s="66"/>
      <c r="E797" s="99"/>
      <c r="F797" s="66" t="b">
        <v>0</v>
      </c>
      <c r="G797" s="62"/>
    </row>
    <row r="798" spans="1:7" ht="13.2">
      <c r="A798" s="62"/>
      <c r="B798" s="96"/>
      <c r="C798" s="70"/>
      <c r="D798" s="70"/>
      <c r="E798" s="98"/>
      <c r="F798" s="70" t="b">
        <v>0</v>
      </c>
      <c r="G798" s="62"/>
    </row>
    <row r="799" spans="1:7" ht="13.2">
      <c r="A799" s="62"/>
      <c r="B799" s="90"/>
      <c r="C799" s="66"/>
      <c r="D799" s="66"/>
      <c r="E799" s="99"/>
      <c r="F799" s="66" t="b">
        <v>0</v>
      </c>
      <c r="G799" s="62"/>
    </row>
    <row r="800" spans="1:7" ht="13.2">
      <c r="A800" s="62"/>
      <c r="B800" s="96"/>
      <c r="C800" s="70"/>
      <c r="D800" s="70"/>
      <c r="E800" s="98"/>
      <c r="F800" s="70" t="b">
        <v>0</v>
      </c>
      <c r="G800" s="62"/>
    </row>
    <row r="801" spans="1:7" ht="13.2">
      <c r="A801" s="62"/>
      <c r="B801" s="90"/>
      <c r="C801" s="66"/>
      <c r="D801" s="66"/>
      <c r="E801" s="99"/>
      <c r="F801" s="66" t="b">
        <v>0</v>
      </c>
      <c r="G801" s="62"/>
    </row>
    <row r="802" spans="1:7" ht="13.2">
      <c r="A802" s="62"/>
      <c r="B802" s="96"/>
      <c r="C802" s="70"/>
      <c r="D802" s="70"/>
      <c r="E802" s="98"/>
      <c r="F802" s="70" t="b">
        <v>0</v>
      </c>
      <c r="G802" s="62"/>
    </row>
    <row r="803" spans="1:7" ht="13.2">
      <c r="A803" s="62"/>
      <c r="B803" s="90"/>
      <c r="C803" s="66"/>
      <c r="D803" s="66"/>
      <c r="E803" s="99"/>
      <c r="F803" s="66" t="b">
        <v>0</v>
      </c>
      <c r="G803" s="62"/>
    </row>
    <row r="804" spans="1:7" ht="13.2">
      <c r="A804" s="62"/>
      <c r="B804" s="96"/>
      <c r="C804" s="70"/>
      <c r="D804" s="70"/>
      <c r="E804" s="98"/>
      <c r="F804" s="70" t="b">
        <v>0</v>
      </c>
      <c r="G804" s="62"/>
    </row>
    <row r="805" spans="1:7" ht="13.2">
      <c r="A805" s="62"/>
      <c r="B805" s="90"/>
      <c r="C805" s="66"/>
      <c r="D805" s="66"/>
      <c r="E805" s="99"/>
      <c r="F805" s="66" t="b">
        <v>0</v>
      </c>
      <c r="G805" s="62"/>
    </row>
    <row r="806" spans="1:7" ht="13.2">
      <c r="A806" s="62"/>
      <c r="B806" s="96"/>
      <c r="C806" s="70"/>
      <c r="D806" s="70"/>
      <c r="E806" s="98"/>
      <c r="F806" s="70" t="b">
        <v>0</v>
      </c>
      <c r="G806" s="62"/>
    </row>
    <row r="807" spans="1:7" ht="13.2">
      <c r="A807" s="62"/>
      <c r="B807" s="90"/>
      <c r="C807" s="66"/>
      <c r="D807" s="66"/>
      <c r="E807" s="99"/>
      <c r="F807" s="66" t="b">
        <v>0</v>
      </c>
      <c r="G807" s="62"/>
    </row>
    <row r="808" spans="1:7" ht="13.2">
      <c r="A808" s="62"/>
      <c r="B808" s="96"/>
      <c r="C808" s="70"/>
      <c r="D808" s="70"/>
      <c r="E808" s="98"/>
      <c r="F808" s="70" t="b">
        <v>0</v>
      </c>
      <c r="G808" s="62"/>
    </row>
    <row r="809" spans="1:7" ht="13.2">
      <c r="A809" s="62"/>
      <c r="B809" s="90"/>
      <c r="C809" s="66"/>
      <c r="D809" s="66"/>
      <c r="E809" s="99"/>
      <c r="F809" s="66" t="b">
        <v>0</v>
      </c>
      <c r="G809" s="62"/>
    </row>
    <row r="810" spans="1:7" ht="13.2">
      <c r="A810" s="62"/>
      <c r="B810" s="96"/>
      <c r="C810" s="70"/>
      <c r="D810" s="70"/>
      <c r="E810" s="98"/>
      <c r="F810" s="70" t="b">
        <v>0</v>
      </c>
      <c r="G810" s="62"/>
    </row>
    <row r="811" spans="1:7" ht="13.2">
      <c r="A811" s="62"/>
      <c r="B811" s="90"/>
      <c r="C811" s="66"/>
      <c r="D811" s="66"/>
      <c r="E811" s="99"/>
      <c r="F811" s="66" t="b">
        <v>0</v>
      </c>
      <c r="G811" s="62"/>
    </row>
    <row r="812" spans="1:7" ht="13.2">
      <c r="A812" s="62"/>
      <c r="B812" s="96"/>
      <c r="C812" s="70"/>
      <c r="D812" s="70"/>
      <c r="E812" s="98"/>
      <c r="F812" s="70" t="b">
        <v>0</v>
      </c>
      <c r="G812" s="62"/>
    </row>
    <row r="813" spans="1:7" ht="13.2">
      <c r="A813" s="62"/>
      <c r="B813" s="90"/>
      <c r="C813" s="66"/>
      <c r="D813" s="66"/>
      <c r="E813" s="99"/>
      <c r="F813" s="66" t="b">
        <v>0</v>
      </c>
      <c r="G813" s="62"/>
    </row>
    <row r="814" spans="1:7" ht="13.2">
      <c r="A814" s="62"/>
      <c r="B814" s="96"/>
      <c r="C814" s="70"/>
      <c r="D814" s="70"/>
      <c r="E814" s="98"/>
      <c r="F814" s="70" t="b">
        <v>0</v>
      </c>
      <c r="G814" s="62"/>
    </row>
    <row r="815" spans="1:7" ht="13.2">
      <c r="A815" s="62"/>
      <c r="B815" s="90"/>
      <c r="C815" s="66"/>
      <c r="D815" s="66"/>
      <c r="E815" s="99"/>
      <c r="F815" s="66" t="b">
        <v>0</v>
      </c>
      <c r="G815" s="62"/>
    </row>
    <row r="816" spans="1:7" ht="13.2">
      <c r="A816" s="62"/>
      <c r="B816" s="96"/>
      <c r="C816" s="70"/>
      <c r="D816" s="70"/>
      <c r="E816" s="98"/>
      <c r="F816" s="70" t="b">
        <v>0</v>
      </c>
      <c r="G816" s="62"/>
    </row>
    <row r="817" spans="1:7" ht="13.2">
      <c r="A817" s="62"/>
      <c r="B817" s="90"/>
      <c r="C817" s="66"/>
      <c r="D817" s="66"/>
      <c r="E817" s="99"/>
      <c r="F817" s="66" t="b">
        <v>0</v>
      </c>
      <c r="G817" s="62"/>
    </row>
    <row r="818" spans="1:7" ht="13.2">
      <c r="A818" s="62"/>
      <c r="B818" s="96"/>
      <c r="C818" s="70"/>
      <c r="D818" s="70"/>
      <c r="E818" s="98"/>
      <c r="F818" s="70" t="b">
        <v>0</v>
      </c>
      <c r="G818" s="62"/>
    </row>
    <row r="819" spans="1:7" ht="13.2">
      <c r="A819" s="62"/>
      <c r="B819" s="90"/>
      <c r="C819" s="66"/>
      <c r="D819" s="66"/>
      <c r="E819" s="99"/>
      <c r="F819" s="66" t="b">
        <v>0</v>
      </c>
      <c r="G819" s="62"/>
    </row>
    <row r="820" spans="1:7" ht="13.2">
      <c r="A820" s="62"/>
      <c r="B820" s="96"/>
      <c r="C820" s="70"/>
      <c r="D820" s="70"/>
      <c r="E820" s="98"/>
      <c r="F820" s="70" t="b">
        <v>0</v>
      </c>
      <c r="G820" s="62"/>
    </row>
    <row r="821" spans="1:7" ht="13.2">
      <c r="A821" s="62"/>
      <c r="B821" s="90"/>
      <c r="C821" s="66"/>
      <c r="D821" s="66"/>
      <c r="E821" s="99"/>
      <c r="F821" s="66" t="b">
        <v>0</v>
      </c>
      <c r="G821" s="62"/>
    </row>
    <row r="822" spans="1:7" ht="13.2">
      <c r="A822" s="62"/>
      <c r="B822" s="96"/>
      <c r="C822" s="70"/>
      <c r="D822" s="70"/>
      <c r="E822" s="98"/>
      <c r="F822" s="70" t="b">
        <v>0</v>
      </c>
      <c r="G822" s="62"/>
    </row>
    <row r="823" spans="1:7" ht="13.2">
      <c r="A823" s="62"/>
      <c r="B823" s="90"/>
      <c r="C823" s="66"/>
      <c r="D823" s="66"/>
      <c r="E823" s="99"/>
      <c r="F823" s="66" t="b">
        <v>0</v>
      </c>
      <c r="G823" s="62"/>
    </row>
    <row r="824" spans="1:7" ht="13.2">
      <c r="A824" s="62"/>
      <c r="B824" s="96"/>
      <c r="C824" s="70"/>
      <c r="D824" s="70"/>
      <c r="E824" s="98"/>
      <c r="F824" s="70" t="b">
        <v>0</v>
      </c>
      <c r="G824" s="62"/>
    </row>
    <row r="825" spans="1:7" ht="13.2">
      <c r="A825" s="62"/>
      <c r="B825" s="90"/>
      <c r="C825" s="66"/>
      <c r="D825" s="66"/>
      <c r="E825" s="99"/>
      <c r="F825" s="66" t="b">
        <v>0</v>
      </c>
      <c r="G825" s="62"/>
    </row>
    <row r="826" spans="1:7" ht="13.2">
      <c r="A826" s="62"/>
      <c r="B826" s="96"/>
      <c r="C826" s="70"/>
      <c r="D826" s="70"/>
      <c r="E826" s="98"/>
      <c r="F826" s="70" t="b">
        <v>0</v>
      </c>
      <c r="G826" s="62"/>
    </row>
    <row r="827" spans="1:7" ht="13.2">
      <c r="A827" s="62"/>
      <c r="B827" s="90"/>
      <c r="C827" s="66"/>
      <c r="D827" s="66"/>
      <c r="E827" s="99"/>
      <c r="F827" s="66" t="b">
        <v>0</v>
      </c>
      <c r="G827" s="62"/>
    </row>
    <row r="828" spans="1:7" ht="13.2">
      <c r="A828" s="62"/>
      <c r="B828" s="96"/>
      <c r="C828" s="70"/>
      <c r="D828" s="70"/>
      <c r="E828" s="98"/>
      <c r="F828" s="70" t="b">
        <v>0</v>
      </c>
      <c r="G828" s="62"/>
    </row>
    <row r="829" spans="1:7" ht="13.2">
      <c r="A829" s="62"/>
      <c r="B829" s="90"/>
      <c r="C829" s="66"/>
      <c r="D829" s="66"/>
      <c r="E829" s="99"/>
      <c r="F829" s="66" t="b">
        <v>0</v>
      </c>
      <c r="G829" s="62"/>
    </row>
    <row r="830" spans="1:7" ht="13.2">
      <c r="A830" s="62"/>
      <c r="B830" s="96"/>
      <c r="C830" s="70"/>
      <c r="D830" s="70"/>
      <c r="E830" s="98"/>
      <c r="F830" s="70" t="b">
        <v>0</v>
      </c>
      <c r="G830" s="62"/>
    </row>
    <row r="831" spans="1:7" ht="13.2">
      <c r="A831" s="62"/>
      <c r="B831" s="90"/>
      <c r="C831" s="66"/>
      <c r="D831" s="66"/>
      <c r="E831" s="99"/>
      <c r="F831" s="66" t="b">
        <v>0</v>
      </c>
      <c r="G831" s="62"/>
    </row>
    <row r="832" spans="1:7" ht="13.2">
      <c r="A832" s="62"/>
      <c r="B832" s="96"/>
      <c r="C832" s="70"/>
      <c r="D832" s="70"/>
      <c r="E832" s="98"/>
      <c r="F832" s="70" t="b">
        <v>0</v>
      </c>
      <c r="G832" s="62"/>
    </row>
    <row r="833" spans="1:7" ht="13.2">
      <c r="A833" s="62"/>
      <c r="B833" s="90"/>
      <c r="C833" s="66"/>
      <c r="D833" s="66"/>
      <c r="E833" s="99"/>
      <c r="F833" s="66" t="b">
        <v>0</v>
      </c>
      <c r="G833" s="62"/>
    </row>
    <row r="834" spans="1:7" ht="13.2">
      <c r="A834" s="62"/>
      <c r="B834" s="96"/>
      <c r="C834" s="70"/>
      <c r="D834" s="70"/>
      <c r="E834" s="98"/>
      <c r="F834" s="70" t="b">
        <v>0</v>
      </c>
      <c r="G834" s="62"/>
    </row>
    <row r="835" spans="1:7" ht="13.2">
      <c r="A835" s="62"/>
      <c r="B835" s="90"/>
      <c r="C835" s="66"/>
      <c r="D835" s="66"/>
      <c r="E835" s="99"/>
      <c r="F835" s="66" t="b">
        <v>0</v>
      </c>
      <c r="G835" s="62"/>
    </row>
    <row r="836" spans="1:7" ht="13.2">
      <c r="A836" s="62"/>
      <c r="B836" s="96"/>
      <c r="C836" s="70"/>
      <c r="D836" s="70"/>
      <c r="E836" s="98"/>
      <c r="F836" s="70" t="b">
        <v>0</v>
      </c>
      <c r="G836" s="62"/>
    </row>
    <row r="837" spans="1:7" ht="13.2">
      <c r="A837" s="62"/>
      <c r="B837" s="90"/>
      <c r="C837" s="66"/>
      <c r="D837" s="66"/>
      <c r="E837" s="99"/>
      <c r="F837" s="66" t="b">
        <v>0</v>
      </c>
      <c r="G837" s="62"/>
    </row>
    <row r="838" spans="1:7" ht="13.2">
      <c r="A838" s="62"/>
      <c r="B838" s="96"/>
      <c r="C838" s="70"/>
      <c r="D838" s="70"/>
      <c r="E838" s="98"/>
      <c r="F838" s="70" t="b">
        <v>0</v>
      </c>
      <c r="G838" s="62"/>
    </row>
    <row r="839" spans="1:7" ht="13.2">
      <c r="A839" s="62"/>
      <c r="B839" s="90"/>
      <c r="C839" s="66"/>
      <c r="D839" s="66"/>
      <c r="E839" s="99"/>
      <c r="F839" s="66" t="b">
        <v>0</v>
      </c>
      <c r="G839" s="62"/>
    </row>
    <row r="840" spans="1:7" ht="13.2">
      <c r="A840" s="62"/>
      <c r="B840" s="96"/>
      <c r="C840" s="70"/>
      <c r="D840" s="70"/>
      <c r="E840" s="98"/>
      <c r="F840" s="70" t="b">
        <v>0</v>
      </c>
      <c r="G840" s="62"/>
    </row>
    <row r="841" spans="1:7" ht="13.2">
      <c r="A841" s="62"/>
      <c r="B841" s="90"/>
      <c r="C841" s="66"/>
      <c r="D841" s="66"/>
      <c r="E841" s="99"/>
      <c r="F841" s="66" t="b">
        <v>0</v>
      </c>
      <c r="G841" s="62"/>
    </row>
    <row r="842" spans="1:7" ht="13.2">
      <c r="A842" s="62"/>
      <c r="B842" s="96"/>
      <c r="C842" s="70"/>
      <c r="D842" s="70"/>
      <c r="E842" s="98"/>
      <c r="F842" s="70" t="b">
        <v>0</v>
      </c>
      <c r="G842" s="62"/>
    </row>
    <row r="843" spans="1:7" ht="13.2">
      <c r="A843" s="62"/>
      <c r="B843" s="90"/>
      <c r="C843" s="66"/>
      <c r="D843" s="66"/>
      <c r="E843" s="99"/>
      <c r="F843" s="66" t="b">
        <v>0</v>
      </c>
      <c r="G843" s="62"/>
    </row>
    <row r="844" spans="1:7" ht="13.2">
      <c r="A844" s="62"/>
      <c r="B844" s="96"/>
      <c r="C844" s="70"/>
      <c r="D844" s="70"/>
      <c r="E844" s="98"/>
      <c r="F844" s="70" t="b">
        <v>0</v>
      </c>
      <c r="G844" s="62"/>
    </row>
    <row r="845" spans="1:7" ht="13.2">
      <c r="A845" s="62"/>
      <c r="B845" s="90"/>
      <c r="C845" s="66"/>
      <c r="D845" s="66"/>
      <c r="E845" s="99"/>
      <c r="F845" s="66" t="b">
        <v>0</v>
      </c>
      <c r="G845" s="62"/>
    </row>
    <row r="846" spans="1:7" ht="13.2">
      <c r="A846" s="62"/>
      <c r="B846" s="96"/>
      <c r="C846" s="70"/>
      <c r="D846" s="70"/>
      <c r="E846" s="98"/>
      <c r="F846" s="70" t="b">
        <v>0</v>
      </c>
      <c r="G846" s="62"/>
    </row>
    <row r="847" spans="1:7" ht="13.2">
      <c r="A847" s="62"/>
      <c r="B847" s="90"/>
      <c r="C847" s="66"/>
      <c r="D847" s="66"/>
      <c r="E847" s="99"/>
      <c r="F847" s="66" t="b">
        <v>0</v>
      </c>
      <c r="G847" s="62"/>
    </row>
    <row r="848" spans="1:7" ht="13.2">
      <c r="A848" s="62"/>
      <c r="B848" s="96"/>
      <c r="C848" s="70"/>
      <c r="D848" s="70"/>
      <c r="E848" s="98"/>
      <c r="F848" s="70" t="b">
        <v>0</v>
      </c>
      <c r="G848" s="62"/>
    </row>
    <row r="849" spans="1:7" ht="13.2">
      <c r="A849" s="62"/>
      <c r="B849" s="90"/>
      <c r="C849" s="66"/>
      <c r="D849" s="66"/>
      <c r="E849" s="99"/>
      <c r="F849" s="66" t="b">
        <v>0</v>
      </c>
      <c r="G849" s="62"/>
    </row>
    <row r="850" spans="1:7" ht="13.2">
      <c r="A850" s="62"/>
      <c r="B850" s="96"/>
      <c r="C850" s="70"/>
      <c r="D850" s="70"/>
      <c r="E850" s="98"/>
      <c r="F850" s="70" t="b">
        <v>0</v>
      </c>
      <c r="G850" s="62"/>
    </row>
    <row r="851" spans="1:7" ht="13.2">
      <c r="A851" s="62"/>
      <c r="B851" s="90"/>
      <c r="C851" s="66"/>
      <c r="D851" s="66"/>
      <c r="E851" s="99"/>
      <c r="F851" s="66" t="b">
        <v>0</v>
      </c>
      <c r="G851" s="62"/>
    </row>
    <row r="852" spans="1:7" ht="13.2">
      <c r="A852" s="62"/>
      <c r="B852" s="96"/>
      <c r="C852" s="70"/>
      <c r="D852" s="70"/>
      <c r="E852" s="98"/>
      <c r="F852" s="70" t="b">
        <v>0</v>
      </c>
      <c r="G852" s="62"/>
    </row>
    <row r="853" spans="1:7" ht="13.2">
      <c r="A853" s="62"/>
      <c r="B853" s="90"/>
      <c r="C853" s="66"/>
      <c r="D853" s="66"/>
      <c r="E853" s="99"/>
      <c r="F853" s="66" t="b">
        <v>0</v>
      </c>
      <c r="G853" s="62"/>
    </row>
    <row r="854" spans="1:7" ht="13.2">
      <c r="A854" s="62"/>
      <c r="B854" s="96"/>
      <c r="C854" s="70"/>
      <c r="D854" s="70"/>
      <c r="E854" s="98"/>
      <c r="F854" s="70" t="b">
        <v>0</v>
      </c>
      <c r="G854" s="62"/>
    </row>
    <row r="855" spans="1:7" ht="13.2">
      <c r="A855" s="62"/>
      <c r="B855" s="90"/>
      <c r="C855" s="66"/>
      <c r="D855" s="66"/>
      <c r="E855" s="99"/>
      <c r="F855" s="66" t="b">
        <v>0</v>
      </c>
      <c r="G855" s="62"/>
    </row>
    <row r="856" spans="1:7" ht="13.2">
      <c r="A856" s="62"/>
      <c r="B856" s="96"/>
      <c r="C856" s="70"/>
      <c r="D856" s="70"/>
      <c r="E856" s="98"/>
      <c r="F856" s="70" t="b">
        <v>0</v>
      </c>
      <c r="G856" s="62"/>
    </row>
    <row r="857" spans="1:7" ht="13.2">
      <c r="A857" s="62"/>
      <c r="B857" s="90"/>
      <c r="C857" s="66"/>
      <c r="D857" s="66"/>
      <c r="E857" s="99"/>
      <c r="F857" s="66" t="b">
        <v>0</v>
      </c>
      <c r="G857" s="62"/>
    </row>
    <row r="858" spans="1:7" ht="13.2">
      <c r="A858" s="62"/>
      <c r="B858" s="96"/>
      <c r="C858" s="70"/>
      <c r="D858" s="70"/>
      <c r="E858" s="98"/>
      <c r="F858" s="70" t="b">
        <v>0</v>
      </c>
      <c r="G858" s="62"/>
    </row>
    <row r="859" spans="1:7" ht="13.2">
      <c r="A859" s="62"/>
      <c r="B859" s="90"/>
      <c r="C859" s="66"/>
      <c r="D859" s="66"/>
      <c r="E859" s="99"/>
      <c r="F859" s="66" t="b">
        <v>0</v>
      </c>
      <c r="G859" s="62"/>
    </row>
    <row r="860" spans="1:7" ht="13.2">
      <c r="A860" s="62"/>
      <c r="B860" s="96"/>
      <c r="C860" s="70"/>
      <c r="D860" s="70"/>
      <c r="E860" s="98"/>
      <c r="F860" s="70" t="b">
        <v>0</v>
      </c>
      <c r="G860" s="62"/>
    </row>
    <row r="861" spans="1:7" ht="13.2">
      <c r="A861" s="62"/>
      <c r="B861" s="90"/>
      <c r="C861" s="66"/>
      <c r="D861" s="66"/>
      <c r="E861" s="99"/>
      <c r="F861" s="66" t="b">
        <v>0</v>
      </c>
      <c r="G861" s="62"/>
    </row>
    <row r="862" spans="1:7" ht="13.2">
      <c r="A862" s="62"/>
      <c r="B862" s="96"/>
      <c r="C862" s="70"/>
      <c r="D862" s="70"/>
      <c r="E862" s="98"/>
      <c r="F862" s="70" t="b">
        <v>0</v>
      </c>
      <c r="G862" s="62"/>
    </row>
    <row r="863" spans="1:7" ht="13.2">
      <c r="A863" s="62"/>
      <c r="B863" s="90"/>
      <c r="C863" s="66"/>
      <c r="D863" s="66"/>
      <c r="E863" s="99"/>
      <c r="F863" s="66" t="b">
        <v>0</v>
      </c>
      <c r="G863" s="62"/>
    </row>
    <row r="864" spans="1:7" ht="13.2">
      <c r="A864" s="62"/>
      <c r="B864" s="96"/>
      <c r="C864" s="70"/>
      <c r="D864" s="70"/>
      <c r="E864" s="98"/>
      <c r="F864" s="70" t="b">
        <v>0</v>
      </c>
      <c r="G864" s="62"/>
    </row>
    <row r="865" spans="1:7" ht="13.2">
      <c r="A865" s="62"/>
      <c r="B865" s="90"/>
      <c r="C865" s="66"/>
      <c r="D865" s="66"/>
      <c r="E865" s="99"/>
      <c r="F865" s="66" t="b">
        <v>0</v>
      </c>
      <c r="G865" s="62"/>
    </row>
    <row r="866" spans="1:7" ht="13.2">
      <c r="A866" s="62"/>
      <c r="B866" s="96"/>
      <c r="C866" s="70"/>
      <c r="D866" s="70"/>
      <c r="E866" s="98"/>
      <c r="F866" s="70" t="b">
        <v>0</v>
      </c>
      <c r="G866" s="62"/>
    </row>
    <row r="867" spans="1:7" ht="13.2">
      <c r="A867" s="62"/>
      <c r="B867" s="90"/>
      <c r="C867" s="66"/>
      <c r="D867" s="66"/>
      <c r="E867" s="99"/>
      <c r="F867" s="66" t="b">
        <v>0</v>
      </c>
      <c r="G867" s="62"/>
    </row>
    <row r="868" spans="1:7" ht="13.2">
      <c r="A868" s="62"/>
      <c r="B868" s="96"/>
      <c r="C868" s="70"/>
      <c r="D868" s="70"/>
      <c r="E868" s="98"/>
      <c r="F868" s="70" t="b">
        <v>0</v>
      </c>
      <c r="G868" s="62"/>
    </row>
    <row r="869" spans="1:7" ht="13.2">
      <c r="A869" s="62"/>
      <c r="B869" s="90"/>
      <c r="C869" s="66"/>
      <c r="D869" s="66"/>
      <c r="E869" s="99"/>
      <c r="F869" s="66" t="b">
        <v>0</v>
      </c>
      <c r="G869" s="62"/>
    </row>
    <row r="870" spans="1:7" ht="13.2">
      <c r="A870" s="62"/>
      <c r="B870" s="96"/>
      <c r="C870" s="70"/>
      <c r="D870" s="70"/>
      <c r="E870" s="98"/>
      <c r="F870" s="70" t="b">
        <v>0</v>
      </c>
      <c r="G870" s="62"/>
    </row>
    <row r="871" spans="1:7" ht="13.2">
      <c r="A871" s="62"/>
      <c r="B871" s="90"/>
      <c r="C871" s="66"/>
      <c r="D871" s="66"/>
      <c r="E871" s="99"/>
      <c r="F871" s="66" t="b">
        <v>0</v>
      </c>
      <c r="G871" s="62"/>
    </row>
    <row r="872" spans="1:7" ht="13.2">
      <c r="A872" s="62"/>
      <c r="B872" s="96"/>
      <c r="C872" s="70"/>
      <c r="D872" s="70"/>
      <c r="E872" s="98"/>
      <c r="F872" s="70" t="b">
        <v>0</v>
      </c>
      <c r="G872" s="62"/>
    </row>
    <row r="873" spans="1:7" ht="13.2">
      <c r="A873" s="62"/>
      <c r="B873" s="90"/>
      <c r="C873" s="66"/>
      <c r="D873" s="66"/>
      <c r="E873" s="99"/>
      <c r="F873" s="66" t="b">
        <v>0</v>
      </c>
      <c r="G873" s="62"/>
    </row>
    <row r="874" spans="1:7" ht="13.2">
      <c r="A874" s="62"/>
      <c r="B874" s="96"/>
      <c r="C874" s="70"/>
      <c r="D874" s="70"/>
      <c r="E874" s="98"/>
      <c r="F874" s="70" t="b">
        <v>0</v>
      </c>
      <c r="G874" s="62"/>
    </row>
    <row r="875" spans="1:7" ht="13.2">
      <c r="A875" s="62"/>
      <c r="B875" s="90"/>
      <c r="C875" s="66"/>
      <c r="D875" s="66"/>
      <c r="E875" s="99"/>
      <c r="F875" s="66" t="b">
        <v>0</v>
      </c>
      <c r="G875" s="62"/>
    </row>
    <row r="876" spans="1:7" ht="13.2">
      <c r="A876" s="62"/>
      <c r="B876" s="96"/>
      <c r="C876" s="70"/>
      <c r="D876" s="70"/>
      <c r="E876" s="98"/>
      <c r="F876" s="70" t="b">
        <v>0</v>
      </c>
      <c r="G876" s="62"/>
    </row>
    <row r="877" spans="1:7" ht="13.2">
      <c r="A877" s="62"/>
      <c r="B877" s="90"/>
      <c r="C877" s="66"/>
      <c r="D877" s="66"/>
      <c r="E877" s="99"/>
      <c r="F877" s="66" t="b">
        <v>0</v>
      </c>
      <c r="G877" s="62"/>
    </row>
    <row r="878" spans="1:7" ht="13.2">
      <c r="A878" s="62"/>
      <c r="B878" s="96"/>
      <c r="C878" s="70"/>
      <c r="D878" s="70"/>
      <c r="E878" s="98"/>
      <c r="F878" s="70" t="b">
        <v>0</v>
      </c>
      <c r="G878" s="62"/>
    </row>
    <row r="879" spans="1:7" ht="13.2">
      <c r="A879" s="62"/>
      <c r="B879" s="90"/>
      <c r="C879" s="66"/>
      <c r="D879" s="66"/>
      <c r="E879" s="99"/>
      <c r="F879" s="66" t="b">
        <v>0</v>
      </c>
      <c r="G879" s="62"/>
    </row>
    <row r="880" spans="1:7" ht="13.2">
      <c r="A880" s="62"/>
      <c r="B880" s="96"/>
      <c r="C880" s="70"/>
      <c r="D880" s="70"/>
      <c r="E880" s="98"/>
      <c r="F880" s="70" t="b">
        <v>0</v>
      </c>
      <c r="G880" s="62"/>
    </row>
    <row r="881" spans="1:7" ht="13.2">
      <c r="A881" s="62"/>
      <c r="B881" s="90"/>
      <c r="C881" s="66"/>
      <c r="D881" s="66"/>
      <c r="E881" s="99"/>
      <c r="F881" s="66" t="b">
        <v>0</v>
      </c>
      <c r="G881" s="62"/>
    </row>
    <row r="882" spans="1:7" ht="13.2">
      <c r="A882" s="62"/>
      <c r="B882" s="96"/>
      <c r="C882" s="70"/>
      <c r="D882" s="70"/>
      <c r="E882" s="98"/>
      <c r="F882" s="70" t="b">
        <v>0</v>
      </c>
      <c r="G882" s="62"/>
    </row>
    <row r="883" spans="1:7" ht="13.2">
      <c r="A883" s="62"/>
      <c r="B883" s="90"/>
      <c r="C883" s="66"/>
      <c r="D883" s="66"/>
      <c r="E883" s="99"/>
      <c r="F883" s="66" t="b">
        <v>0</v>
      </c>
      <c r="G883" s="62"/>
    </row>
    <row r="884" spans="1:7" ht="13.2">
      <c r="A884" s="62"/>
      <c r="B884" s="96"/>
      <c r="C884" s="70"/>
      <c r="D884" s="70"/>
      <c r="E884" s="98"/>
      <c r="F884" s="70" t="b">
        <v>0</v>
      </c>
      <c r="G884" s="62"/>
    </row>
    <row r="885" spans="1:7" ht="13.2">
      <c r="A885" s="62"/>
      <c r="B885" s="90"/>
      <c r="C885" s="66"/>
      <c r="D885" s="66"/>
      <c r="E885" s="99"/>
      <c r="F885" s="66" t="b">
        <v>0</v>
      </c>
      <c r="G885" s="62"/>
    </row>
    <row r="886" spans="1:7" ht="13.2">
      <c r="A886" s="62"/>
      <c r="B886" s="96"/>
      <c r="C886" s="70"/>
      <c r="D886" s="70"/>
      <c r="E886" s="98"/>
      <c r="F886" s="70" t="b">
        <v>0</v>
      </c>
      <c r="G886" s="62"/>
    </row>
    <row r="887" spans="1:7" ht="13.2">
      <c r="A887" s="62"/>
      <c r="B887" s="90"/>
      <c r="C887" s="66"/>
      <c r="D887" s="66"/>
      <c r="E887" s="99"/>
      <c r="F887" s="66" t="b">
        <v>0</v>
      </c>
      <c r="G887" s="62"/>
    </row>
    <row r="888" spans="1:7" ht="13.2">
      <c r="A888" s="62"/>
      <c r="B888" s="96"/>
      <c r="C888" s="70"/>
      <c r="D888" s="70"/>
      <c r="E888" s="98"/>
      <c r="F888" s="70" t="b">
        <v>0</v>
      </c>
      <c r="G888" s="62"/>
    </row>
    <row r="889" spans="1:7" ht="13.2">
      <c r="A889" s="62"/>
      <c r="B889" s="90"/>
      <c r="C889" s="66"/>
      <c r="D889" s="66"/>
      <c r="E889" s="99"/>
      <c r="F889" s="66" t="b">
        <v>0</v>
      </c>
      <c r="G889" s="62"/>
    </row>
    <row r="890" spans="1:7" ht="13.2">
      <c r="A890" s="62"/>
      <c r="B890" s="96"/>
      <c r="C890" s="70"/>
      <c r="D890" s="70"/>
      <c r="E890" s="98"/>
      <c r="F890" s="70" t="b">
        <v>0</v>
      </c>
      <c r="G890" s="62"/>
    </row>
    <row r="891" spans="1:7" ht="13.2">
      <c r="A891" s="62"/>
      <c r="B891" s="90"/>
      <c r="C891" s="66"/>
      <c r="D891" s="66"/>
      <c r="E891" s="99"/>
      <c r="F891" s="66" t="b">
        <v>0</v>
      </c>
      <c r="G891" s="62"/>
    </row>
    <row r="892" spans="1:7" ht="13.2">
      <c r="A892" s="62"/>
      <c r="B892" s="96"/>
      <c r="C892" s="70"/>
      <c r="D892" s="70"/>
      <c r="E892" s="98"/>
      <c r="F892" s="70" t="b">
        <v>0</v>
      </c>
      <c r="G892" s="62"/>
    </row>
    <row r="893" spans="1:7" ht="13.2">
      <c r="A893" s="62"/>
      <c r="B893" s="90"/>
      <c r="C893" s="66"/>
      <c r="D893" s="66"/>
      <c r="E893" s="99"/>
      <c r="F893" s="66" t="b">
        <v>0</v>
      </c>
      <c r="G893" s="62"/>
    </row>
    <row r="894" spans="1:7" ht="13.2">
      <c r="A894" s="62"/>
      <c r="B894" s="96"/>
      <c r="C894" s="70"/>
      <c r="D894" s="70"/>
      <c r="E894" s="98"/>
      <c r="F894" s="70" t="b">
        <v>0</v>
      </c>
      <c r="G894" s="62"/>
    </row>
    <row r="895" spans="1:7" ht="13.2">
      <c r="A895" s="62"/>
      <c r="B895" s="90"/>
      <c r="C895" s="66"/>
      <c r="D895" s="66"/>
      <c r="E895" s="99"/>
      <c r="F895" s="66" t="b">
        <v>0</v>
      </c>
      <c r="G895" s="62"/>
    </row>
    <row r="896" spans="1:7" ht="13.2">
      <c r="A896" s="62"/>
      <c r="B896" s="96"/>
      <c r="C896" s="70"/>
      <c r="D896" s="70"/>
      <c r="E896" s="98"/>
      <c r="F896" s="70" t="b">
        <v>0</v>
      </c>
      <c r="G896" s="62"/>
    </row>
    <row r="897" spans="1:7" ht="13.2">
      <c r="A897" s="62"/>
      <c r="B897" s="90"/>
      <c r="C897" s="66"/>
      <c r="D897" s="66"/>
      <c r="E897" s="99"/>
      <c r="F897" s="66" t="b">
        <v>0</v>
      </c>
      <c r="G897" s="62"/>
    </row>
    <row r="898" spans="1:7" ht="13.2">
      <c r="A898" s="62"/>
      <c r="B898" s="96"/>
      <c r="C898" s="70"/>
      <c r="D898" s="70"/>
      <c r="E898" s="98"/>
      <c r="F898" s="70" t="b">
        <v>0</v>
      </c>
      <c r="G898" s="62"/>
    </row>
    <row r="899" spans="1:7" ht="13.2">
      <c r="A899" s="62"/>
      <c r="B899" s="90"/>
      <c r="C899" s="66"/>
      <c r="D899" s="66"/>
      <c r="E899" s="99"/>
      <c r="F899" s="66" t="b">
        <v>0</v>
      </c>
      <c r="G899" s="62"/>
    </row>
    <row r="900" spans="1:7" ht="13.2">
      <c r="A900" s="62"/>
      <c r="B900" s="96"/>
      <c r="C900" s="70"/>
      <c r="D900" s="70"/>
      <c r="E900" s="98"/>
      <c r="F900" s="70" t="b">
        <v>0</v>
      </c>
      <c r="G900" s="62"/>
    </row>
    <row r="901" spans="1:7" ht="13.2">
      <c r="A901" s="62"/>
      <c r="B901" s="90"/>
      <c r="C901" s="66"/>
      <c r="D901" s="66"/>
      <c r="E901" s="99"/>
      <c r="F901" s="66" t="b">
        <v>0</v>
      </c>
      <c r="G901" s="62"/>
    </row>
    <row r="902" spans="1:7" ht="13.2">
      <c r="A902" s="62"/>
      <c r="B902" s="96"/>
      <c r="C902" s="70"/>
      <c r="D902" s="70"/>
      <c r="E902" s="98"/>
      <c r="F902" s="70" t="b">
        <v>0</v>
      </c>
      <c r="G902" s="62"/>
    </row>
    <row r="903" spans="1:7" ht="13.2">
      <c r="A903" s="62"/>
      <c r="B903" s="90"/>
      <c r="C903" s="66"/>
      <c r="D903" s="66"/>
      <c r="E903" s="99"/>
      <c r="F903" s="66" t="b">
        <v>0</v>
      </c>
      <c r="G903" s="62"/>
    </row>
    <row r="904" spans="1:7" ht="13.2">
      <c r="A904" s="62"/>
      <c r="B904" s="96"/>
      <c r="C904" s="70"/>
      <c r="D904" s="70"/>
      <c r="E904" s="98"/>
      <c r="F904" s="70" t="b">
        <v>0</v>
      </c>
      <c r="G904" s="62"/>
    </row>
    <row r="905" spans="1:7" ht="13.2">
      <c r="A905" s="62"/>
      <c r="B905" s="90"/>
      <c r="C905" s="66"/>
      <c r="D905" s="66"/>
      <c r="E905" s="99"/>
      <c r="F905" s="66" t="b">
        <v>0</v>
      </c>
      <c r="G905" s="62"/>
    </row>
    <row r="906" spans="1:7" ht="13.2">
      <c r="A906" s="62"/>
      <c r="B906" s="96"/>
      <c r="C906" s="70"/>
      <c r="D906" s="70"/>
      <c r="E906" s="98"/>
      <c r="F906" s="70" t="b">
        <v>0</v>
      </c>
      <c r="G906" s="62"/>
    </row>
    <row r="907" spans="1:7" ht="13.2">
      <c r="A907" s="62"/>
      <c r="B907" s="90"/>
      <c r="C907" s="66"/>
      <c r="D907" s="66"/>
      <c r="E907" s="99"/>
      <c r="F907" s="66" t="b">
        <v>0</v>
      </c>
      <c r="G907" s="62"/>
    </row>
    <row r="908" spans="1:7" ht="13.2">
      <c r="A908" s="62"/>
      <c r="B908" s="96"/>
      <c r="C908" s="70"/>
      <c r="D908" s="70"/>
      <c r="E908" s="98"/>
      <c r="F908" s="70" t="b">
        <v>0</v>
      </c>
      <c r="G908" s="62"/>
    </row>
    <row r="909" spans="1:7" ht="13.2">
      <c r="A909" s="62"/>
      <c r="B909" s="90"/>
      <c r="C909" s="66"/>
      <c r="D909" s="66"/>
      <c r="E909" s="99"/>
      <c r="F909" s="66" t="b">
        <v>0</v>
      </c>
      <c r="G909" s="62"/>
    </row>
    <row r="910" spans="1:7" ht="13.2">
      <c r="A910" s="62"/>
      <c r="B910" s="96"/>
      <c r="C910" s="70"/>
      <c r="D910" s="70"/>
      <c r="E910" s="98"/>
      <c r="F910" s="70" t="b">
        <v>0</v>
      </c>
      <c r="G910" s="62"/>
    </row>
    <row r="911" spans="1:7" ht="13.2">
      <c r="A911" s="62"/>
      <c r="B911" s="90"/>
      <c r="C911" s="66"/>
      <c r="D911" s="66"/>
      <c r="E911" s="99"/>
      <c r="F911" s="66" t="b">
        <v>0</v>
      </c>
      <c r="G911" s="62"/>
    </row>
    <row r="912" spans="1:7" ht="13.2">
      <c r="A912" s="62"/>
      <c r="B912" s="96"/>
      <c r="C912" s="70"/>
      <c r="D912" s="70"/>
      <c r="E912" s="98"/>
      <c r="F912" s="70" t="b">
        <v>0</v>
      </c>
      <c r="G912" s="62"/>
    </row>
    <row r="913" spans="1:7" ht="13.2">
      <c r="A913" s="62"/>
      <c r="B913" s="90"/>
      <c r="C913" s="66"/>
      <c r="D913" s="66"/>
      <c r="E913" s="99"/>
      <c r="F913" s="66" t="b">
        <v>0</v>
      </c>
      <c r="G913" s="62"/>
    </row>
    <row r="914" spans="1:7" ht="13.2">
      <c r="A914" s="62"/>
      <c r="B914" s="96"/>
      <c r="C914" s="70"/>
      <c r="D914" s="70"/>
      <c r="E914" s="98"/>
      <c r="F914" s="70" t="b">
        <v>0</v>
      </c>
      <c r="G914" s="62"/>
    </row>
    <row r="915" spans="1:7" ht="13.2">
      <c r="A915" s="62"/>
      <c r="B915" s="90"/>
      <c r="C915" s="66"/>
      <c r="D915" s="66"/>
      <c r="E915" s="99"/>
      <c r="F915" s="66" t="b">
        <v>0</v>
      </c>
      <c r="G915" s="62"/>
    </row>
    <row r="916" spans="1:7" ht="13.2">
      <c r="A916" s="62"/>
      <c r="B916" s="96"/>
      <c r="C916" s="70"/>
      <c r="D916" s="70"/>
      <c r="E916" s="98"/>
      <c r="F916" s="70" t="b">
        <v>0</v>
      </c>
      <c r="G916" s="62"/>
    </row>
    <row r="917" spans="1:7" ht="13.2">
      <c r="A917" s="62"/>
      <c r="B917" s="90"/>
      <c r="C917" s="66"/>
      <c r="D917" s="66"/>
      <c r="E917" s="99"/>
      <c r="F917" s="66" t="b">
        <v>0</v>
      </c>
      <c r="G917" s="62"/>
    </row>
    <row r="918" spans="1:7" ht="13.2">
      <c r="A918" s="62"/>
      <c r="B918" s="96"/>
      <c r="C918" s="70"/>
      <c r="D918" s="70"/>
      <c r="E918" s="98"/>
      <c r="F918" s="70" t="b">
        <v>0</v>
      </c>
      <c r="G918" s="62"/>
    </row>
    <row r="919" spans="1:7" ht="13.2">
      <c r="A919" s="62"/>
      <c r="B919" s="90"/>
      <c r="C919" s="66"/>
      <c r="D919" s="66"/>
      <c r="E919" s="99"/>
      <c r="F919" s="66" t="b">
        <v>0</v>
      </c>
      <c r="G919" s="62"/>
    </row>
    <row r="920" spans="1:7" ht="13.2">
      <c r="A920" s="62"/>
      <c r="B920" s="96"/>
      <c r="C920" s="70"/>
      <c r="D920" s="70"/>
      <c r="E920" s="98"/>
      <c r="F920" s="70" t="b">
        <v>0</v>
      </c>
      <c r="G920" s="62"/>
    </row>
    <row r="921" spans="1:7" ht="13.2">
      <c r="A921" s="62"/>
      <c r="B921" s="90"/>
      <c r="C921" s="66"/>
      <c r="D921" s="66"/>
      <c r="E921" s="99"/>
      <c r="F921" s="66" t="b">
        <v>0</v>
      </c>
      <c r="G921" s="62"/>
    </row>
    <row r="922" spans="1:7" ht="13.2">
      <c r="A922" s="62"/>
      <c r="B922" s="96"/>
      <c r="C922" s="70"/>
      <c r="D922" s="70"/>
      <c r="E922" s="98"/>
      <c r="F922" s="70" t="b">
        <v>0</v>
      </c>
      <c r="G922" s="62"/>
    </row>
    <row r="923" spans="1:7" ht="13.2">
      <c r="A923" s="62"/>
      <c r="B923" s="90"/>
      <c r="C923" s="66"/>
      <c r="D923" s="66"/>
      <c r="E923" s="99"/>
      <c r="F923" s="66" t="b">
        <v>0</v>
      </c>
      <c r="G923" s="62"/>
    </row>
    <row r="924" spans="1:7" ht="13.2">
      <c r="A924" s="62"/>
      <c r="B924" s="96"/>
      <c r="C924" s="70"/>
      <c r="D924" s="70"/>
      <c r="E924" s="98"/>
      <c r="F924" s="70" t="b">
        <v>0</v>
      </c>
      <c r="G924" s="62"/>
    </row>
    <row r="925" spans="1:7" ht="13.2">
      <c r="A925" s="62"/>
      <c r="B925" s="90"/>
      <c r="C925" s="66"/>
      <c r="D925" s="66"/>
      <c r="E925" s="99"/>
      <c r="F925" s="66" t="b">
        <v>0</v>
      </c>
      <c r="G925" s="62"/>
    </row>
    <row r="926" spans="1:7" ht="13.2">
      <c r="A926" s="62"/>
      <c r="B926" s="96"/>
      <c r="C926" s="70"/>
      <c r="D926" s="70"/>
      <c r="E926" s="98"/>
      <c r="F926" s="70" t="b">
        <v>0</v>
      </c>
      <c r="G926" s="62"/>
    </row>
    <row r="927" spans="1:7" ht="13.2">
      <c r="A927" s="62"/>
      <c r="B927" s="90"/>
      <c r="C927" s="66"/>
      <c r="D927" s="66"/>
      <c r="E927" s="99"/>
      <c r="F927" s="66" t="b">
        <v>0</v>
      </c>
      <c r="G927" s="62"/>
    </row>
    <row r="928" spans="1:7" ht="13.2">
      <c r="A928" s="62"/>
      <c r="B928" s="96"/>
      <c r="C928" s="70"/>
      <c r="D928" s="70"/>
      <c r="E928" s="98"/>
      <c r="F928" s="70" t="b">
        <v>0</v>
      </c>
      <c r="G928" s="62"/>
    </row>
    <row r="929" spans="1:7" ht="13.2">
      <c r="A929" s="62"/>
      <c r="B929" s="90"/>
      <c r="C929" s="66"/>
      <c r="D929" s="66"/>
      <c r="E929" s="99"/>
      <c r="F929" s="66" t="b">
        <v>0</v>
      </c>
      <c r="G929" s="62"/>
    </row>
    <row r="930" spans="1:7" ht="13.2">
      <c r="A930" s="62"/>
      <c r="B930" s="96"/>
      <c r="C930" s="70"/>
      <c r="D930" s="70"/>
      <c r="E930" s="98"/>
      <c r="F930" s="70" t="b">
        <v>0</v>
      </c>
      <c r="G930" s="62"/>
    </row>
    <row r="931" spans="1:7" ht="13.2">
      <c r="A931" s="62"/>
      <c r="B931" s="90"/>
      <c r="C931" s="66"/>
      <c r="D931" s="66"/>
      <c r="E931" s="99"/>
      <c r="F931" s="66" t="b">
        <v>0</v>
      </c>
      <c r="G931" s="62"/>
    </row>
    <row r="932" spans="1:7" ht="13.2">
      <c r="A932" s="62"/>
      <c r="B932" s="96"/>
      <c r="C932" s="70"/>
      <c r="D932" s="70"/>
      <c r="E932" s="98"/>
      <c r="F932" s="70" t="b">
        <v>0</v>
      </c>
      <c r="G932" s="62"/>
    </row>
    <row r="933" spans="1:7" ht="13.2">
      <c r="A933" s="62"/>
      <c r="B933" s="90"/>
      <c r="C933" s="66"/>
      <c r="D933" s="66"/>
      <c r="E933" s="99"/>
      <c r="F933" s="66" t="b">
        <v>0</v>
      </c>
      <c r="G933" s="62"/>
    </row>
    <row r="934" spans="1:7" ht="13.2">
      <c r="A934" s="62"/>
      <c r="B934" s="96"/>
      <c r="C934" s="70"/>
      <c r="D934" s="70"/>
      <c r="E934" s="98"/>
      <c r="F934" s="70" t="b">
        <v>0</v>
      </c>
      <c r="G934" s="62"/>
    </row>
    <row r="935" spans="1:7" ht="13.2">
      <c r="A935" s="62"/>
      <c r="B935" s="90"/>
      <c r="C935" s="66"/>
      <c r="D935" s="66"/>
      <c r="E935" s="99"/>
      <c r="F935" s="66" t="b">
        <v>0</v>
      </c>
      <c r="G935" s="62"/>
    </row>
    <row r="936" spans="1:7" ht="13.2">
      <c r="A936" s="62"/>
      <c r="B936" s="96"/>
      <c r="C936" s="70"/>
      <c r="D936" s="70"/>
      <c r="E936" s="98"/>
      <c r="F936" s="70" t="b">
        <v>0</v>
      </c>
      <c r="G936" s="62"/>
    </row>
    <row r="937" spans="1:7" ht="13.2">
      <c r="A937" s="62"/>
      <c r="B937" s="90"/>
      <c r="C937" s="66"/>
      <c r="D937" s="66"/>
      <c r="E937" s="99"/>
      <c r="F937" s="66" t="b">
        <v>0</v>
      </c>
      <c r="G937" s="62"/>
    </row>
    <row r="938" spans="1:7" ht="13.2">
      <c r="A938" s="62"/>
      <c r="B938" s="96"/>
      <c r="C938" s="70"/>
      <c r="D938" s="70"/>
      <c r="E938" s="98"/>
      <c r="F938" s="70" t="b">
        <v>0</v>
      </c>
      <c r="G938" s="62"/>
    </row>
    <row r="939" spans="1:7" ht="13.2">
      <c r="A939" s="62"/>
      <c r="B939" s="90"/>
      <c r="C939" s="66"/>
      <c r="D939" s="66"/>
      <c r="E939" s="99"/>
      <c r="F939" s="66" t="b">
        <v>0</v>
      </c>
      <c r="G939" s="62"/>
    </row>
    <row r="940" spans="1:7" ht="13.2">
      <c r="A940" s="62"/>
      <c r="B940" s="96"/>
      <c r="C940" s="70"/>
      <c r="D940" s="70"/>
      <c r="E940" s="98"/>
      <c r="F940" s="70" t="b">
        <v>0</v>
      </c>
      <c r="G940" s="62"/>
    </row>
    <row r="941" spans="1:7" ht="13.2">
      <c r="A941" s="62"/>
      <c r="B941" s="90"/>
      <c r="C941" s="66"/>
      <c r="D941" s="66"/>
      <c r="E941" s="99"/>
      <c r="F941" s="66" t="b">
        <v>0</v>
      </c>
      <c r="G941" s="62"/>
    </row>
    <row r="942" spans="1:7" ht="13.2">
      <c r="A942" s="62"/>
      <c r="B942" s="96"/>
      <c r="C942" s="70"/>
      <c r="D942" s="70"/>
      <c r="E942" s="98"/>
      <c r="F942" s="70" t="b">
        <v>0</v>
      </c>
      <c r="G942" s="62"/>
    </row>
    <row r="943" spans="1:7" ht="13.2">
      <c r="A943" s="62"/>
      <c r="B943" s="90"/>
      <c r="C943" s="66"/>
      <c r="D943" s="66"/>
      <c r="E943" s="99"/>
      <c r="F943" s="66" t="b">
        <v>0</v>
      </c>
      <c r="G943" s="62"/>
    </row>
    <row r="944" spans="1:7" ht="13.2">
      <c r="A944" s="62"/>
      <c r="B944" s="96"/>
      <c r="C944" s="70"/>
      <c r="D944" s="70"/>
      <c r="E944" s="98"/>
      <c r="F944" s="70" t="b">
        <v>0</v>
      </c>
      <c r="G944" s="62"/>
    </row>
    <row r="945" spans="1:7" ht="13.2">
      <c r="A945" s="62"/>
      <c r="B945" s="90"/>
      <c r="C945" s="66"/>
      <c r="D945" s="66"/>
      <c r="E945" s="99"/>
      <c r="F945" s="66" t="b">
        <v>0</v>
      </c>
      <c r="G945" s="62"/>
    </row>
    <row r="946" spans="1:7" ht="13.2">
      <c r="A946" s="62"/>
      <c r="B946" s="96"/>
      <c r="C946" s="70"/>
      <c r="D946" s="70"/>
      <c r="E946" s="98"/>
      <c r="F946" s="70" t="b">
        <v>0</v>
      </c>
      <c r="G946" s="62"/>
    </row>
    <row r="947" spans="1:7" ht="13.2">
      <c r="A947" s="62"/>
      <c r="B947" s="90"/>
      <c r="C947" s="66"/>
      <c r="D947" s="66"/>
      <c r="E947" s="99"/>
      <c r="F947" s="66" t="b">
        <v>0</v>
      </c>
      <c r="G947" s="62"/>
    </row>
    <row r="948" spans="1:7" ht="13.2">
      <c r="A948" s="62"/>
      <c r="B948" s="96"/>
      <c r="C948" s="70"/>
      <c r="D948" s="70"/>
      <c r="E948" s="98"/>
      <c r="F948" s="70" t="b">
        <v>0</v>
      </c>
      <c r="G948" s="62"/>
    </row>
    <row r="949" spans="1:7" ht="13.2">
      <c r="A949" s="62"/>
      <c r="B949" s="90"/>
      <c r="C949" s="66"/>
      <c r="D949" s="66"/>
      <c r="E949" s="99"/>
      <c r="F949" s="66" t="b">
        <v>0</v>
      </c>
      <c r="G949" s="62"/>
    </row>
    <row r="950" spans="1:7" ht="13.2">
      <c r="A950" s="62"/>
      <c r="B950" s="96"/>
      <c r="C950" s="70"/>
      <c r="D950" s="70"/>
      <c r="E950" s="98"/>
      <c r="F950" s="70" t="b">
        <v>0</v>
      </c>
      <c r="G950" s="62"/>
    </row>
    <row r="951" spans="1:7" ht="13.2">
      <c r="A951" s="62"/>
      <c r="B951" s="90"/>
      <c r="C951" s="66"/>
      <c r="D951" s="66"/>
      <c r="E951" s="99"/>
      <c r="F951" s="66" t="b">
        <v>0</v>
      </c>
      <c r="G951" s="62"/>
    </row>
    <row r="952" spans="1:7" ht="13.2">
      <c r="A952" s="62"/>
      <c r="B952" s="96"/>
      <c r="C952" s="70"/>
      <c r="D952" s="70"/>
      <c r="E952" s="98"/>
      <c r="F952" s="70" t="b">
        <v>0</v>
      </c>
      <c r="G952" s="62"/>
    </row>
    <row r="953" spans="1:7" ht="13.2">
      <c r="A953" s="62"/>
      <c r="B953" s="90"/>
      <c r="C953" s="66"/>
      <c r="D953" s="66"/>
      <c r="E953" s="99"/>
      <c r="F953" s="66" t="b">
        <v>0</v>
      </c>
      <c r="G953" s="62"/>
    </row>
    <row r="954" spans="1:7" ht="13.2">
      <c r="A954" s="62"/>
      <c r="B954" s="96"/>
      <c r="C954" s="70"/>
      <c r="D954" s="70"/>
      <c r="E954" s="98"/>
      <c r="F954" s="70" t="b">
        <v>0</v>
      </c>
      <c r="G954" s="62"/>
    </row>
    <row r="955" spans="1:7" ht="13.2">
      <c r="A955" s="62"/>
      <c r="B955" s="90"/>
      <c r="C955" s="66"/>
      <c r="D955" s="66"/>
      <c r="E955" s="99"/>
      <c r="F955" s="66" t="b">
        <v>0</v>
      </c>
      <c r="G955" s="62"/>
    </row>
    <row r="956" spans="1:7" ht="13.2">
      <c r="A956" s="62"/>
      <c r="B956" s="96"/>
      <c r="C956" s="70"/>
      <c r="D956" s="70"/>
      <c r="E956" s="98"/>
      <c r="F956" s="70" t="b">
        <v>0</v>
      </c>
      <c r="G956" s="62"/>
    </row>
    <row r="957" spans="1:7" ht="13.2">
      <c r="A957" s="62"/>
      <c r="B957" s="90"/>
      <c r="C957" s="66"/>
      <c r="D957" s="66"/>
      <c r="E957" s="99"/>
      <c r="F957" s="66" t="b">
        <v>0</v>
      </c>
      <c r="G957" s="62"/>
    </row>
    <row r="958" spans="1:7" ht="13.2">
      <c r="A958" s="62"/>
      <c r="B958" s="96"/>
      <c r="C958" s="70"/>
      <c r="D958" s="70"/>
      <c r="E958" s="98"/>
      <c r="F958" s="70" t="b">
        <v>0</v>
      </c>
      <c r="G958" s="62"/>
    </row>
    <row r="959" spans="1:7" ht="13.2">
      <c r="A959" s="62"/>
      <c r="B959" s="90"/>
      <c r="C959" s="66"/>
      <c r="D959" s="66"/>
      <c r="E959" s="99"/>
      <c r="F959" s="66" t="b">
        <v>0</v>
      </c>
      <c r="G959" s="62"/>
    </row>
    <row r="960" spans="1:7" ht="13.2">
      <c r="A960" s="62"/>
      <c r="B960" s="96"/>
      <c r="C960" s="70"/>
      <c r="D960" s="70"/>
      <c r="E960" s="98"/>
      <c r="F960" s="70" t="b">
        <v>0</v>
      </c>
      <c r="G960" s="62"/>
    </row>
    <row r="961" spans="1:7" ht="13.2">
      <c r="A961" s="62"/>
      <c r="B961" s="90"/>
      <c r="C961" s="66"/>
      <c r="D961" s="66"/>
      <c r="E961" s="99"/>
      <c r="F961" s="66" t="b">
        <v>0</v>
      </c>
      <c r="G961" s="62"/>
    </row>
    <row r="962" spans="1:7" ht="13.2">
      <c r="A962" s="62"/>
      <c r="B962" s="96"/>
      <c r="C962" s="70"/>
      <c r="D962" s="70"/>
      <c r="E962" s="98"/>
      <c r="F962" s="70" t="b">
        <v>0</v>
      </c>
      <c r="G962" s="62"/>
    </row>
    <row r="963" spans="1:7" ht="13.2">
      <c r="A963" s="62"/>
      <c r="B963" s="90"/>
      <c r="C963" s="66"/>
      <c r="D963" s="66"/>
      <c r="E963" s="99"/>
      <c r="F963" s="66" t="b">
        <v>0</v>
      </c>
      <c r="G963" s="62"/>
    </row>
    <row r="964" spans="1:7" ht="13.2">
      <c r="A964" s="62"/>
      <c r="B964" s="96"/>
      <c r="C964" s="70"/>
      <c r="D964" s="70"/>
      <c r="E964" s="98"/>
      <c r="F964" s="70" t="b">
        <v>0</v>
      </c>
      <c r="G964" s="62"/>
    </row>
    <row r="965" spans="1:7" ht="13.2">
      <c r="A965" s="62"/>
      <c r="B965" s="90"/>
      <c r="C965" s="66"/>
      <c r="D965" s="66"/>
      <c r="E965" s="99"/>
      <c r="F965" s="66" t="b">
        <v>0</v>
      </c>
      <c r="G965" s="62"/>
    </row>
    <row r="966" spans="1:7" ht="13.2">
      <c r="A966" s="62"/>
      <c r="B966" s="96"/>
      <c r="C966" s="70"/>
      <c r="D966" s="70"/>
      <c r="E966" s="98"/>
      <c r="F966" s="70" t="b">
        <v>0</v>
      </c>
      <c r="G966" s="62"/>
    </row>
    <row r="967" spans="1:7" ht="13.2">
      <c r="A967" s="62"/>
      <c r="B967" s="90"/>
      <c r="C967" s="66"/>
      <c r="D967" s="66"/>
      <c r="E967" s="99"/>
      <c r="F967" s="66" t="b">
        <v>0</v>
      </c>
      <c r="G967" s="62"/>
    </row>
    <row r="968" spans="1:7" ht="13.2">
      <c r="A968" s="62"/>
      <c r="B968" s="96"/>
      <c r="C968" s="70"/>
      <c r="D968" s="70"/>
      <c r="E968" s="98"/>
      <c r="F968" s="70" t="b">
        <v>0</v>
      </c>
      <c r="G968" s="62"/>
    </row>
    <row r="969" spans="1:7" ht="13.2">
      <c r="A969" s="62"/>
      <c r="B969" s="90"/>
      <c r="C969" s="66"/>
      <c r="D969" s="66"/>
      <c r="E969" s="99"/>
      <c r="F969" s="66" t="b">
        <v>0</v>
      </c>
      <c r="G969" s="62"/>
    </row>
    <row r="970" spans="1:7" ht="13.2">
      <c r="A970" s="62"/>
      <c r="B970" s="96"/>
      <c r="C970" s="70"/>
      <c r="D970" s="70"/>
      <c r="E970" s="98"/>
      <c r="F970" s="70" t="b">
        <v>0</v>
      </c>
      <c r="G970" s="62"/>
    </row>
    <row r="971" spans="1:7" ht="13.2">
      <c r="A971" s="62"/>
      <c r="B971" s="90"/>
      <c r="C971" s="66"/>
      <c r="D971" s="66"/>
      <c r="E971" s="99"/>
      <c r="F971" s="66" t="b">
        <v>0</v>
      </c>
      <c r="G971" s="62"/>
    </row>
    <row r="972" spans="1:7" ht="13.2">
      <c r="A972" s="62"/>
      <c r="B972" s="96"/>
      <c r="C972" s="70"/>
      <c r="D972" s="70"/>
      <c r="E972" s="98"/>
      <c r="F972" s="70" t="b">
        <v>0</v>
      </c>
      <c r="G972" s="62"/>
    </row>
    <row r="973" spans="1:7" ht="13.2">
      <c r="A973" s="62"/>
      <c r="B973" s="90"/>
      <c r="C973" s="66"/>
      <c r="D973" s="66"/>
      <c r="E973" s="99"/>
      <c r="F973" s="66" t="b">
        <v>0</v>
      </c>
      <c r="G973" s="62"/>
    </row>
    <row r="974" spans="1:7" ht="13.2">
      <c r="A974" s="62"/>
      <c r="B974" s="96"/>
      <c r="C974" s="70"/>
      <c r="D974" s="70"/>
      <c r="E974" s="98"/>
      <c r="F974" s="70" t="b">
        <v>0</v>
      </c>
      <c r="G974" s="62"/>
    </row>
    <row r="975" spans="1:7" ht="13.2">
      <c r="A975" s="62"/>
      <c r="B975" s="90"/>
      <c r="C975" s="66"/>
      <c r="D975" s="66"/>
      <c r="E975" s="99"/>
      <c r="F975" s="66" t="b">
        <v>0</v>
      </c>
      <c r="G975" s="62"/>
    </row>
    <row r="976" spans="1:7" ht="13.2">
      <c r="A976" s="62"/>
      <c r="B976" s="96"/>
      <c r="C976" s="70"/>
      <c r="D976" s="70"/>
      <c r="E976" s="98"/>
      <c r="F976" s="70" t="b">
        <v>0</v>
      </c>
      <c r="G976" s="62"/>
    </row>
    <row r="977" spans="1:7" ht="13.2">
      <c r="A977" s="62"/>
      <c r="B977" s="90"/>
      <c r="C977" s="66"/>
      <c r="D977" s="66"/>
      <c r="E977" s="99"/>
      <c r="F977" s="66" t="b">
        <v>0</v>
      </c>
      <c r="G977" s="62"/>
    </row>
    <row r="978" spans="1:7" ht="13.2">
      <c r="A978" s="62"/>
      <c r="B978" s="96"/>
      <c r="C978" s="70"/>
      <c r="D978" s="70"/>
      <c r="E978" s="98"/>
      <c r="F978" s="70" t="b">
        <v>0</v>
      </c>
      <c r="G978" s="62"/>
    </row>
    <row r="979" spans="1:7" ht="13.2">
      <c r="A979" s="62"/>
      <c r="B979" s="90"/>
      <c r="C979" s="66"/>
      <c r="D979" s="66"/>
      <c r="E979" s="99"/>
      <c r="F979" s="66" t="b">
        <v>0</v>
      </c>
      <c r="G979" s="62"/>
    </row>
    <row r="980" spans="1:7" ht="13.2">
      <c r="A980" s="62"/>
      <c r="B980" s="96"/>
      <c r="C980" s="70"/>
      <c r="D980" s="70"/>
      <c r="E980" s="98"/>
      <c r="F980" s="70" t="b">
        <v>0</v>
      </c>
      <c r="G980" s="62"/>
    </row>
    <row r="981" spans="1:7" ht="13.2">
      <c r="A981" s="62"/>
      <c r="B981" s="90"/>
      <c r="C981" s="66"/>
      <c r="D981" s="66"/>
      <c r="E981" s="99"/>
      <c r="F981" s="66" t="b">
        <v>0</v>
      </c>
      <c r="G981" s="62"/>
    </row>
    <row r="982" spans="1:7" ht="13.2">
      <c r="A982" s="62"/>
      <c r="B982" s="96"/>
      <c r="C982" s="70"/>
      <c r="D982" s="70"/>
      <c r="E982" s="98"/>
      <c r="F982" s="70" t="b">
        <v>0</v>
      </c>
      <c r="G982" s="62"/>
    </row>
    <row r="983" spans="1:7" ht="13.2">
      <c r="A983" s="62"/>
      <c r="B983" s="90"/>
      <c r="C983" s="66"/>
      <c r="D983" s="66"/>
      <c r="E983" s="99"/>
      <c r="F983" s="66" t="b">
        <v>0</v>
      </c>
      <c r="G983" s="62"/>
    </row>
    <row r="984" spans="1:7" ht="13.2">
      <c r="A984" s="62"/>
      <c r="B984" s="96"/>
      <c r="C984" s="70"/>
      <c r="D984" s="70"/>
      <c r="E984" s="98"/>
      <c r="F984" s="70" t="b">
        <v>0</v>
      </c>
      <c r="G984" s="62"/>
    </row>
    <row r="985" spans="1:7" ht="13.2">
      <c r="A985" s="62"/>
      <c r="B985" s="90"/>
      <c r="C985" s="66"/>
      <c r="D985" s="66"/>
      <c r="E985" s="99"/>
      <c r="F985" s="66" t="b">
        <v>0</v>
      </c>
      <c r="G985" s="62"/>
    </row>
    <row r="986" spans="1:7" ht="13.2">
      <c r="A986" s="62"/>
      <c r="B986" s="96"/>
      <c r="C986" s="70"/>
      <c r="D986" s="70"/>
      <c r="E986" s="98"/>
      <c r="F986" s="70" t="b">
        <v>0</v>
      </c>
      <c r="G986" s="62"/>
    </row>
    <row r="987" spans="1:7" ht="13.2">
      <c r="A987" s="62"/>
      <c r="B987" s="90"/>
      <c r="C987" s="66"/>
      <c r="D987" s="66"/>
      <c r="E987" s="99"/>
      <c r="F987" s="66" t="b">
        <v>0</v>
      </c>
      <c r="G987" s="62"/>
    </row>
    <row r="988" spans="1:7" ht="13.2">
      <c r="A988" s="62"/>
      <c r="B988" s="96"/>
      <c r="C988" s="70"/>
      <c r="D988" s="70"/>
      <c r="E988" s="98"/>
      <c r="F988" s="70" t="b">
        <v>0</v>
      </c>
      <c r="G988" s="62"/>
    </row>
    <row r="989" spans="1:7" ht="13.2">
      <c r="A989" s="62"/>
      <c r="B989" s="90"/>
      <c r="C989" s="66"/>
      <c r="D989" s="66"/>
      <c r="E989" s="99"/>
      <c r="F989" s="66" t="b">
        <v>0</v>
      </c>
      <c r="G989" s="62"/>
    </row>
    <row r="990" spans="1:7" ht="13.2">
      <c r="A990" s="62"/>
      <c r="B990" s="96"/>
      <c r="C990" s="70"/>
      <c r="D990" s="70"/>
      <c r="E990" s="98"/>
      <c r="F990" s="70" t="b">
        <v>0</v>
      </c>
      <c r="G990" s="62"/>
    </row>
    <row r="991" spans="1:7" ht="13.2">
      <c r="A991" s="62"/>
      <c r="B991" s="90"/>
      <c r="C991" s="66"/>
      <c r="D991" s="66"/>
      <c r="E991" s="99"/>
      <c r="F991" s="66" t="b">
        <v>0</v>
      </c>
      <c r="G991" s="62"/>
    </row>
    <row r="992" spans="1:7" ht="13.2">
      <c r="A992" s="62"/>
      <c r="B992" s="96"/>
      <c r="C992" s="70"/>
      <c r="D992" s="70"/>
      <c r="E992" s="98"/>
      <c r="F992" s="70" t="b">
        <v>0</v>
      </c>
      <c r="G992" s="62"/>
    </row>
    <row r="993" spans="1:7" ht="13.2">
      <c r="A993" s="62"/>
      <c r="B993" s="90"/>
      <c r="C993" s="66"/>
      <c r="D993" s="66"/>
      <c r="E993" s="99"/>
      <c r="F993" s="66" t="b">
        <v>0</v>
      </c>
      <c r="G993" s="62"/>
    </row>
    <row r="994" spans="1:7" ht="13.2">
      <c r="A994" s="62"/>
      <c r="B994" s="96"/>
      <c r="C994" s="70"/>
      <c r="D994" s="70"/>
      <c r="E994" s="98"/>
      <c r="F994" s="70" t="b">
        <v>0</v>
      </c>
      <c r="G994" s="62"/>
    </row>
    <row r="995" spans="1:7" ht="13.2">
      <c r="A995" s="62"/>
      <c r="B995" s="90"/>
      <c r="C995" s="66"/>
      <c r="D995" s="66"/>
      <c r="E995" s="99"/>
      <c r="F995" s="66" t="b">
        <v>0</v>
      </c>
      <c r="G995" s="62"/>
    </row>
    <row r="996" spans="1:7" ht="13.2">
      <c r="A996" s="62"/>
      <c r="B996" s="96"/>
      <c r="C996" s="70"/>
      <c r="D996" s="70"/>
      <c r="E996" s="98"/>
      <c r="F996" s="70" t="b">
        <v>0</v>
      </c>
      <c r="G996" s="62"/>
    </row>
    <row r="997" spans="1:7" ht="13.2">
      <c r="A997" s="62"/>
      <c r="B997" s="90"/>
      <c r="C997" s="66"/>
      <c r="D997" s="66"/>
      <c r="E997" s="99"/>
      <c r="F997" s="66" t="b">
        <v>0</v>
      </c>
      <c r="G997" s="62"/>
    </row>
    <row r="998" spans="1:7" ht="13.2">
      <c r="A998" s="62"/>
      <c r="B998" s="96"/>
      <c r="C998" s="70"/>
      <c r="D998" s="70"/>
      <c r="E998" s="98"/>
      <c r="F998" s="70" t="b">
        <v>0</v>
      </c>
      <c r="G998" s="62"/>
    </row>
    <row r="999" spans="1:7" ht="13.2">
      <c r="A999" s="62"/>
      <c r="B999" s="90"/>
      <c r="C999" s="66"/>
      <c r="D999" s="66"/>
      <c r="E999" s="99"/>
      <c r="F999" s="66" t="b">
        <v>0</v>
      </c>
      <c r="G999" s="62"/>
    </row>
    <row r="1000" spans="1:7" ht="13.2">
      <c r="A1000" s="62"/>
      <c r="B1000" s="96"/>
      <c r="C1000" s="70"/>
      <c r="D1000" s="70"/>
      <c r="E1000" s="98"/>
      <c r="F1000" s="70" t="b">
        <v>0</v>
      </c>
      <c r="G1000" s="62"/>
    </row>
    <row r="1001" spans="1:7" ht="13.2">
      <c r="A1001" s="62"/>
      <c r="B1001" s="90"/>
      <c r="C1001" s="66"/>
      <c r="D1001" s="66"/>
      <c r="E1001" s="99"/>
      <c r="F1001" s="66" t="b">
        <v>0</v>
      </c>
      <c r="G1001" s="62"/>
    </row>
    <row r="1002" spans="1:7" ht="13.2">
      <c r="A1002" s="62"/>
      <c r="B1002" s="96"/>
      <c r="C1002" s="70"/>
      <c r="D1002" s="70"/>
      <c r="E1002" s="98"/>
      <c r="F1002" s="70" t="b">
        <v>0</v>
      </c>
      <c r="G1002" s="62"/>
    </row>
    <row r="1003" spans="1:7" ht="13.2">
      <c r="A1003" s="62"/>
      <c r="B1003" s="90"/>
      <c r="C1003" s="66"/>
      <c r="D1003" s="66"/>
      <c r="E1003" s="99"/>
      <c r="F1003" s="66" t="b">
        <v>0</v>
      </c>
      <c r="G1003" s="62"/>
    </row>
    <row r="1004" spans="1:7" ht="13.2">
      <c r="A1004" s="62"/>
      <c r="B1004" s="96"/>
      <c r="C1004" s="70"/>
      <c r="D1004" s="70"/>
      <c r="E1004" s="98"/>
      <c r="F1004" s="70" t="b">
        <v>0</v>
      </c>
      <c r="G1004" s="62"/>
    </row>
    <row r="1005" spans="1:7" ht="13.2">
      <c r="A1005" s="62"/>
      <c r="B1005" s="90"/>
      <c r="C1005" s="66"/>
      <c r="D1005" s="66"/>
      <c r="E1005" s="99"/>
      <c r="F1005" s="66" t="b">
        <v>0</v>
      </c>
      <c r="G1005" s="62"/>
    </row>
    <row r="1006" spans="1:7" ht="13.2">
      <c r="A1006" s="62"/>
      <c r="B1006" s="96"/>
      <c r="C1006" s="70"/>
      <c r="D1006" s="70"/>
      <c r="E1006" s="98"/>
      <c r="F1006" s="70" t="b">
        <v>0</v>
      </c>
      <c r="G1006" s="62"/>
    </row>
    <row r="1007" spans="1:7" ht="13.2">
      <c r="A1007" s="62"/>
      <c r="B1007" s="90"/>
      <c r="C1007" s="66"/>
      <c r="D1007" s="66"/>
      <c r="E1007" s="99"/>
      <c r="F1007" s="66" t="b">
        <v>0</v>
      </c>
      <c r="G1007" s="62"/>
    </row>
    <row r="1008" spans="1:7" ht="13.2">
      <c r="A1008" s="62"/>
      <c r="B1008" s="96"/>
      <c r="C1008" s="70"/>
      <c r="D1008" s="70"/>
      <c r="E1008" s="98"/>
      <c r="F1008" s="70" t="b">
        <v>0</v>
      </c>
      <c r="G1008" s="62"/>
    </row>
    <row r="1009" spans="1:7" ht="13.2">
      <c r="A1009" s="62"/>
      <c r="B1009" s="90"/>
      <c r="C1009" s="66"/>
      <c r="D1009" s="66"/>
      <c r="E1009" s="99"/>
      <c r="F1009" s="66" t="b">
        <v>0</v>
      </c>
      <c r="G1009" s="62"/>
    </row>
    <row r="1010" spans="1:7" ht="13.2">
      <c r="A1010" s="62"/>
      <c r="B1010" s="96"/>
      <c r="C1010" s="70"/>
      <c r="D1010" s="70"/>
      <c r="E1010" s="98"/>
      <c r="F1010" s="70" t="b">
        <v>0</v>
      </c>
      <c r="G1010" s="62"/>
    </row>
    <row r="1011" spans="1:7" ht="13.2">
      <c r="A1011" s="62"/>
      <c r="B1011" s="90"/>
      <c r="C1011" s="66"/>
      <c r="D1011" s="66"/>
      <c r="E1011" s="99"/>
      <c r="F1011" s="66" t="b">
        <v>0</v>
      </c>
      <c r="G1011" s="62"/>
    </row>
    <row r="1012" spans="1:7" ht="13.2">
      <c r="A1012" s="62"/>
      <c r="B1012" s="96"/>
      <c r="C1012" s="70"/>
      <c r="D1012" s="70"/>
      <c r="E1012" s="98"/>
      <c r="F1012" s="70" t="b">
        <v>0</v>
      </c>
      <c r="G1012" s="62"/>
    </row>
    <row r="1013" spans="1:7" ht="13.2">
      <c r="A1013" s="62"/>
      <c r="B1013" s="90"/>
      <c r="C1013" s="66"/>
      <c r="D1013" s="66"/>
      <c r="E1013" s="99"/>
      <c r="F1013" s="66" t="b">
        <v>0</v>
      </c>
      <c r="G1013" s="62"/>
    </row>
    <row r="1014" spans="1:7" ht="13.2">
      <c r="A1014" s="62"/>
      <c r="B1014" s="96"/>
      <c r="C1014" s="70"/>
      <c r="D1014" s="70"/>
      <c r="E1014" s="98"/>
      <c r="F1014" s="70" t="b">
        <v>0</v>
      </c>
      <c r="G1014" s="62"/>
    </row>
    <row r="1015" spans="1:7" ht="13.2">
      <c r="A1015" s="62"/>
      <c r="B1015" s="90"/>
      <c r="C1015" s="66"/>
      <c r="D1015" s="66"/>
      <c r="E1015" s="99"/>
      <c r="F1015" s="66" t="b">
        <v>0</v>
      </c>
      <c r="G1015" s="62"/>
    </row>
    <row r="1016" spans="1:7" ht="13.2">
      <c r="A1016" s="62"/>
      <c r="B1016" s="96"/>
      <c r="C1016" s="70"/>
      <c r="D1016" s="70"/>
      <c r="E1016" s="98"/>
      <c r="F1016" s="70" t="b">
        <v>0</v>
      </c>
      <c r="G1016" s="62"/>
    </row>
    <row r="1017" spans="1:7" ht="13.2">
      <c r="A1017" s="62"/>
      <c r="B1017" s="90"/>
      <c r="C1017" s="66"/>
      <c r="D1017" s="66"/>
      <c r="E1017" s="99"/>
      <c r="F1017" s="66" t="b">
        <v>0</v>
      </c>
      <c r="G1017" s="62"/>
    </row>
    <row r="1018" spans="1:7" ht="13.2">
      <c r="A1018" s="62"/>
      <c r="B1018" s="96"/>
      <c r="C1018" s="70"/>
      <c r="D1018" s="70"/>
      <c r="E1018" s="98"/>
      <c r="F1018" s="70" t="b">
        <v>0</v>
      </c>
      <c r="G1018" s="62"/>
    </row>
    <row r="1019" spans="1:7" ht="13.2">
      <c r="A1019" s="62"/>
      <c r="B1019" s="90"/>
      <c r="C1019" s="66"/>
      <c r="D1019" s="66"/>
      <c r="E1019" s="99"/>
      <c r="F1019" s="66" t="b">
        <v>0</v>
      </c>
      <c r="G1019" s="62"/>
    </row>
    <row r="1020" spans="1:7" ht="13.2">
      <c r="A1020" s="62"/>
      <c r="B1020" s="96"/>
      <c r="C1020" s="70"/>
      <c r="D1020" s="70"/>
      <c r="E1020" s="98"/>
      <c r="F1020" s="70" t="b">
        <v>0</v>
      </c>
      <c r="G1020" s="62"/>
    </row>
    <row r="1021" spans="1:7" ht="13.2">
      <c r="A1021" s="62"/>
      <c r="B1021" s="90"/>
      <c r="C1021" s="66"/>
      <c r="D1021" s="66"/>
      <c r="E1021" s="99"/>
      <c r="F1021" s="66" t="b">
        <v>0</v>
      </c>
      <c r="G1021" s="62"/>
    </row>
    <row r="1022" spans="1:7" ht="13.2">
      <c r="A1022" s="62"/>
      <c r="B1022" s="96"/>
      <c r="C1022" s="70"/>
      <c r="D1022" s="70"/>
      <c r="E1022" s="98"/>
      <c r="F1022" s="70" t="b">
        <v>0</v>
      </c>
      <c r="G1022" s="62"/>
    </row>
    <row r="1023" spans="1:7" ht="13.2">
      <c r="A1023" s="62"/>
      <c r="B1023" s="90"/>
      <c r="C1023" s="66"/>
      <c r="D1023" s="66"/>
      <c r="E1023" s="99"/>
      <c r="F1023" s="66" t="b">
        <v>0</v>
      </c>
      <c r="G1023" s="62"/>
    </row>
    <row r="1024" spans="1:7" ht="13.2">
      <c r="A1024" s="62"/>
      <c r="B1024" s="96"/>
      <c r="C1024" s="70"/>
      <c r="D1024" s="70"/>
      <c r="E1024" s="98"/>
      <c r="F1024" s="70" t="b">
        <v>0</v>
      </c>
      <c r="G1024" s="62"/>
    </row>
    <row r="1025" spans="1:7" ht="13.2">
      <c r="A1025" s="62"/>
      <c r="B1025" s="90"/>
      <c r="C1025" s="66"/>
      <c r="D1025" s="66"/>
      <c r="E1025" s="99"/>
      <c r="F1025" s="66" t="b">
        <v>0</v>
      </c>
      <c r="G1025" s="62"/>
    </row>
    <row r="1026" spans="1:7" ht="13.2">
      <c r="A1026" s="62"/>
      <c r="B1026" s="96"/>
      <c r="C1026" s="70"/>
      <c r="D1026" s="70"/>
      <c r="E1026" s="98"/>
      <c r="F1026" s="70" t="b">
        <v>0</v>
      </c>
      <c r="G1026" s="62"/>
    </row>
    <row r="1027" spans="1:7" ht="13.2">
      <c r="A1027" s="62"/>
      <c r="B1027" s="90"/>
      <c r="C1027" s="66"/>
      <c r="D1027" s="66"/>
      <c r="E1027" s="99"/>
      <c r="F1027" s="66" t="b">
        <v>0</v>
      </c>
      <c r="G1027" s="62"/>
    </row>
    <row r="1028" spans="1:7" ht="13.2">
      <c r="A1028" s="62"/>
      <c r="B1028" s="96"/>
      <c r="C1028" s="70"/>
      <c r="D1028" s="70"/>
      <c r="E1028" s="98"/>
      <c r="F1028" s="70" t="b">
        <v>0</v>
      </c>
      <c r="G1028" s="62"/>
    </row>
    <row r="1029" spans="1:7" ht="13.2">
      <c r="A1029" s="62"/>
      <c r="B1029" s="90"/>
      <c r="C1029" s="66"/>
      <c r="D1029" s="66"/>
      <c r="E1029" s="99"/>
      <c r="F1029" s="66" t="b">
        <v>0</v>
      </c>
      <c r="G1029" s="62"/>
    </row>
    <row r="1030" spans="1:7" ht="13.2">
      <c r="A1030" s="62"/>
      <c r="B1030" s="96"/>
      <c r="C1030" s="70"/>
      <c r="D1030" s="70"/>
      <c r="E1030" s="98"/>
      <c r="F1030" s="70" t="b">
        <v>0</v>
      </c>
      <c r="G1030" s="62"/>
    </row>
    <row r="1031" spans="1:7" ht="13.2">
      <c r="A1031" s="62"/>
      <c r="B1031" s="90"/>
      <c r="C1031" s="66"/>
      <c r="D1031" s="66"/>
      <c r="E1031" s="99"/>
      <c r="F1031" s="66" t="b">
        <v>0</v>
      </c>
      <c r="G1031" s="62"/>
    </row>
    <row r="1032" spans="1:7" ht="13.2">
      <c r="A1032" s="62"/>
      <c r="B1032" s="96"/>
      <c r="C1032" s="70"/>
      <c r="D1032" s="70"/>
      <c r="E1032" s="98"/>
      <c r="F1032" s="70" t="b">
        <v>0</v>
      </c>
      <c r="G1032" s="62"/>
    </row>
    <row r="1033" spans="1:7" ht="13.2">
      <c r="A1033" s="62"/>
      <c r="B1033" s="90"/>
      <c r="C1033" s="66"/>
      <c r="D1033" s="66"/>
      <c r="E1033" s="99"/>
      <c r="F1033" s="66" t="b">
        <v>0</v>
      </c>
      <c r="G1033" s="62"/>
    </row>
    <row r="1034" spans="1:7" ht="13.2">
      <c r="A1034" s="62"/>
      <c r="B1034" s="96"/>
      <c r="C1034" s="70"/>
      <c r="D1034" s="70"/>
      <c r="E1034" s="98"/>
      <c r="F1034" s="70" t="b">
        <v>0</v>
      </c>
      <c r="G1034" s="62"/>
    </row>
    <row r="1035" spans="1:7" ht="13.2">
      <c r="A1035" s="62"/>
      <c r="B1035" s="90"/>
      <c r="C1035" s="66"/>
      <c r="D1035" s="66"/>
      <c r="E1035" s="99"/>
      <c r="F1035" s="66" t="b">
        <v>0</v>
      </c>
      <c r="G1035" s="62"/>
    </row>
    <row r="1036" spans="1:7" ht="13.2">
      <c r="A1036" s="62"/>
      <c r="B1036" s="96"/>
      <c r="C1036" s="70"/>
      <c r="D1036" s="70"/>
      <c r="E1036" s="98"/>
      <c r="F1036" s="70" t="b">
        <v>0</v>
      </c>
      <c r="G1036" s="62"/>
    </row>
    <row r="1037" spans="1:7" ht="13.2">
      <c r="A1037" s="62"/>
      <c r="B1037" s="90"/>
      <c r="C1037" s="66"/>
      <c r="D1037" s="66"/>
      <c r="E1037" s="99"/>
      <c r="F1037" s="66" t="b">
        <v>0</v>
      </c>
      <c r="G1037" s="62"/>
    </row>
    <row r="1038" spans="1:7" ht="13.2">
      <c r="A1038" s="62"/>
      <c r="B1038" s="96"/>
      <c r="C1038" s="70"/>
      <c r="D1038" s="70"/>
      <c r="E1038" s="98"/>
      <c r="F1038" s="70" t="b">
        <v>0</v>
      </c>
      <c r="G1038" s="62"/>
    </row>
    <row r="1039" spans="1:7" ht="13.2">
      <c r="A1039" s="62"/>
      <c r="B1039" s="90"/>
      <c r="C1039" s="66"/>
      <c r="D1039" s="66"/>
      <c r="E1039" s="99"/>
      <c r="F1039" s="66" t="b">
        <v>0</v>
      </c>
      <c r="G1039" s="62"/>
    </row>
    <row r="1040" spans="1:7" ht="13.2">
      <c r="A1040" s="62"/>
      <c r="B1040" s="96"/>
      <c r="C1040" s="70"/>
      <c r="D1040" s="70"/>
      <c r="E1040" s="98"/>
      <c r="F1040" s="70" t="b">
        <v>0</v>
      </c>
      <c r="G1040" s="62"/>
    </row>
    <row r="1041" spans="1:7" ht="13.2">
      <c r="A1041" s="62"/>
      <c r="B1041" s="90"/>
      <c r="C1041" s="66"/>
      <c r="D1041" s="66"/>
      <c r="E1041" s="99"/>
      <c r="F1041" s="66" t="b">
        <v>0</v>
      </c>
      <c r="G1041" s="62"/>
    </row>
    <row r="1042" spans="1:7" ht="13.2">
      <c r="A1042" s="62"/>
      <c r="B1042" s="96"/>
      <c r="C1042" s="70"/>
      <c r="D1042" s="70"/>
      <c r="E1042" s="98"/>
      <c r="F1042" s="70" t="b">
        <v>0</v>
      </c>
      <c r="G1042" s="62"/>
    </row>
    <row r="1043" spans="1:7" ht="13.2">
      <c r="A1043" s="62"/>
      <c r="B1043" s="90"/>
      <c r="C1043" s="66"/>
      <c r="D1043" s="66"/>
      <c r="E1043" s="99"/>
      <c r="F1043" s="66" t="b">
        <v>0</v>
      </c>
      <c r="G1043" s="62"/>
    </row>
    <row r="1044" spans="1:7" ht="13.2">
      <c r="A1044" s="62"/>
      <c r="B1044" s="96"/>
      <c r="C1044" s="70"/>
      <c r="D1044" s="70"/>
      <c r="E1044" s="98"/>
      <c r="F1044" s="70" t="b">
        <v>0</v>
      </c>
      <c r="G1044" s="62"/>
    </row>
    <row r="1045" spans="1:7" ht="13.2">
      <c r="A1045" s="62"/>
      <c r="B1045" s="90"/>
      <c r="C1045" s="66"/>
      <c r="D1045" s="66"/>
      <c r="E1045" s="99"/>
      <c r="F1045" s="66" t="b">
        <v>0</v>
      </c>
      <c r="G1045" s="62"/>
    </row>
    <row r="1046" spans="1:7" ht="13.2">
      <c r="A1046" s="62"/>
      <c r="B1046" s="96"/>
      <c r="C1046" s="70"/>
      <c r="D1046" s="70"/>
      <c r="E1046" s="98"/>
      <c r="F1046" s="70" t="b">
        <v>0</v>
      </c>
      <c r="G1046" s="62"/>
    </row>
    <row r="1047" spans="1:7" ht="13.2">
      <c r="A1047" s="62"/>
      <c r="B1047" s="90"/>
      <c r="C1047" s="66"/>
      <c r="D1047" s="66"/>
      <c r="E1047" s="99"/>
      <c r="F1047" s="66" t="b">
        <v>0</v>
      </c>
      <c r="G1047" s="62"/>
    </row>
    <row r="1048" spans="1:7" ht="13.2">
      <c r="A1048" s="62"/>
      <c r="B1048" s="96"/>
      <c r="C1048" s="70"/>
      <c r="D1048" s="70"/>
      <c r="E1048" s="98"/>
      <c r="F1048" s="70" t="b">
        <v>0</v>
      </c>
      <c r="G1048" s="62"/>
    </row>
    <row r="1049" spans="1:7" ht="13.2">
      <c r="A1049" s="62"/>
      <c r="B1049" s="90"/>
      <c r="C1049" s="66"/>
      <c r="D1049" s="66"/>
      <c r="E1049" s="99"/>
      <c r="F1049" s="66" t="b">
        <v>0</v>
      </c>
      <c r="G1049" s="62"/>
    </row>
    <row r="1050" spans="1:7" ht="13.2">
      <c r="A1050" s="62"/>
      <c r="B1050" s="96"/>
      <c r="C1050" s="70"/>
      <c r="D1050" s="70"/>
      <c r="E1050" s="98"/>
      <c r="F1050" s="70" t="b">
        <v>0</v>
      </c>
      <c r="G1050" s="62"/>
    </row>
    <row r="1051" spans="1:7" ht="13.2">
      <c r="A1051" s="62"/>
      <c r="B1051" s="90"/>
      <c r="C1051" s="66"/>
      <c r="D1051" s="66"/>
      <c r="E1051" s="99"/>
      <c r="F1051" s="66" t="b">
        <v>0</v>
      </c>
      <c r="G1051" s="62"/>
    </row>
    <row r="1052" spans="1:7" ht="13.2">
      <c r="A1052" s="62"/>
      <c r="B1052" s="96"/>
      <c r="C1052" s="70"/>
      <c r="D1052" s="70"/>
      <c r="E1052" s="98"/>
      <c r="F1052" s="70" t="b">
        <v>0</v>
      </c>
      <c r="G1052" s="62"/>
    </row>
    <row r="1053" spans="1:7" ht="13.2">
      <c r="A1053" s="62"/>
      <c r="B1053" s="90"/>
      <c r="C1053" s="66"/>
      <c r="D1053" s="66"/>
      <c r="E1053" s="99"/>
      <c r="F1053" s="66" t="b">
        <v>0</v>
      </c>
      <c r="G1053" s="62"/>
    </row>
    <row r="1054" spans="1:7" ht="13.2">
      <c r="A1054" s="62"/>
      <c r="B1054" s="96"/>
      <c r="C1054" s="70"/>
      <c r="D1054" s="70"/>
      <c r="E1054" s="98"/>
      <c r="F1054" s="70" t="b">
        <v>0</v>
      </c>
      <c r="G1054" s="62"/>
    </row>
    <row r="1055" spans="1:7" ht="13.2">
      <c r="A1055" s="62"/>
      <c r="B1055" s="90"/>
      <c r="C1055" s="66"/>
      <c r="D1055" s="66"/>
      <c r="E1055" s="99"/>
      <c r="F1055" s="66" t="b">
        <v>0</v>
      </c>
      <c r="G1055" s="62"/>
    </row>
    <row r="1056" spans="1:7" ht="13.2">
      <c r="A1056" s="62"/>
      <c r="B1056" s="96"/>
      <c r="C1056" s="70"/>
      <c r="D1056" s="70"/>
      <c r="E1056" s="98"/>
      <c r="F1056" s="70" t="b">
        <v>0</v>
      </c>
      <c r="G1056" s="62"/>
    </row>
    <row r="1057" spans="1:7" ht="13.2">
      <c r="A1057" s="62"/>
      <c r="B1057" s="90"/>
      <c r="C1057" s="66"/>
      <c r="D1057" s="66"/>
      <c r="E1057" s="99"/>
      <c r="F1057" s="66" t="b">
        <v>0</v>
      </c>
      <c r="G1057" s="62"/>
    </row>
    <row r="1058" spans="1:7" ht="13.2">
      <c r="A1058" s="62"/>
      <c r="B1058" s="96"/>
      <c r="C1058" s="70"/>
      <c r="D1058" s="70"/>
      <c r="E1058" s="98"/>
      <c r="F1058" s="70" t="b">
        <v>0</v>
      </c>
      <c r="G1058" s="62"/>
    </row>
    <row r="1059" spans="1:7" ht="13.2">
      <c r="A1059" s="62"/>
      <c r="B1059" s="90"/>
      <c r="C1059" s="66"/>
      <c r="D1059" s="66"/>
      <c r="E1059" s="99"/>
      <c r="F1059" s="66" t="b">
        <v>0</v>
      </c>
      <c r="G1059" s="62"/>
    </row>
    <row r="1060" spans="1:7" ht="13.2">
      <c r="A1060" s="62"/>
      <c r="B1060" s="96"/>
      <c r="C1060" s="70"/>
      <c r="D1060" s="70"/>
      <c r="E1060" s="98"/>
      <c r="F1060" s="70" t="b">
        <v>0</v>
      </c>
      <c r="G1060" s="62"/>
    </row>
    <row r="1061" spans="1:7" ht="13.2">
      <c r="A1061" s="62"/>
      <c r="B1061" s="90"/>
      <c r="C1061" s="66"/>
      <c r="D1061" s="66"/>
      <c r="E1061" s="99"/>
      <c r="F1061" s="66" t="b">
        <v>0</v>
      </c>
      <c r="G1061" s="62"/>
    </row>
    <row r="1062" spans="1:7" ht="13.2">
      <c r="A1062" s="62"/>
      <c r="B1062" s="96"/>
      <c r="C1062" s="70"/>
      <c r="D1062" s="70"/>
      <c r="E1062" s="98"/>
      <c r="F1062" s="70" t="b">
        <v>0</v>
      </c>
      <c r="G1062" s="62"/>
    </row>
    <row r="1063" spans="1:7" ht="13.2">
      <c r="A1063" s="62"/>
      <c r="B1063" s="90"/>
      <c r="C1063" s="66"/>
      <c r="D1063" s="66"/>
      <c r="E1063" s="99"/>
      <c r="F1063" s="66" t="b">
        <v>0</v>
      </c>
      <c r="G1063" s="62"/>
    </row>
    <row r="1064" spans="1:7" ht="13.2">
      <c r="A1064" s="62"/>
      <c r="B1064" s="96"/>
      <c r="C1064" s="70"/>
      <c r="D1064" s="70"/>
      <c r="E1064" s="98"/>
      <c r="F1064" s="70" t="b">
        <v>0</v>
      </c>
      <c r="G1064" s="62"/>
    </row>
    <row r="1065" spans="1:7" ht="13.2">
      <c r="A1065" s="62"/>
      <c r="B1065" s="90"/>
      <c r="C1065" s="66"/>
      <c r="D1065" s="66"/>
      <c r="E1065" s="99"/>
      <c r="F1065" s="66" t="b">
        <v>0</v>
      </c>
      <c r="G1065" s="62"/>
    </row>
    <row r="1066" spans="1:7" ht="13.2">
      <c r="A1066" s="62"/>
      <c r="B1066" s="96"/>
      <c r="C1066" s="70"/>
      <c r="D1066" s="70"/>
      <c r="E1066" s="98"/>
      <c r="F1066" s="70" t="b">
        <v>0</v>
      </c>
      <c r="G1066" s="62"/>
    </row>
    <row r="1067" spans="1:7" ht="13.2">
      <c r="A1067" s="62"/>
      <c r="B1067" s="90"/>
      <c r="C1067" s="66"/>
      <c r="D1067" s="66"/>
      <c r="E1067" s="99"/>
      <c r="F1067" s="66" t="b">
        <v>0</v>
      </c>
      <c r="G1067" s="62"/>
    </row>
    <row r="1068" spans="1:7" ht="13.2">
      <c r="A1068" s="62"/>
      <c r="B1068" s="96"/>
      <c r="C1068" s="70"/>
      <c r="D1068" s="70"/>
      <c r="E1068" s="98"/>
      <c r="F1068" s="70" t="b">
        <v>0</v>
      </c>
      <c r="G1068" s="62"/>
    </row>
    <row r="1069" spans="1:7" ht="13.2">
      <c r="A1069" s="62"/>
      <c r="B1069" s="90"/>
      <c r="C1069" s="66"/>
      <c r="D1069" s="66"/>
      <c r="E1069" s="99"/>
      <c r="F1069" s="66" t="b">
        <v>0</v>
      </c>
      <c r="G1069" s="62"/>
    </row>
    <row r="1070" spans="1:7" ht="13.2">
      <c r="A1070" s="62"/>
      <c r="B1070" s="96"/>
      <c r="C1070" s="70"/>
      <c r="D1070" s="70"/>
      <c r="E1070" s="98"/>
      <c r="F1070" s="70" t="b">
        <v>0</v>
      </c>
      <c r="G1070" s="62"/>
    </row>
    <row r="1071" spans="1:7" ht="13.2">
      <c r="A1071" s="62"/>
      <c r="B1071" s="90"/>
      <c r="C1071" s="66"/>
      <c r="D1071" s="66"/>
      <c r="E1071" s="99"/>
      <c r="F1071" s="66" t="b">
        <v>0</v>
      </c>
      <c r="G1071" s="62"/>
    </row>
    <row r="1072" spans="1:7" ht="13.2">
      <c r="A1072" s="62"/>
      <c r="B1072" s="96"/>
      <c r="C1072" s="70"/>
      <c r="D1072" s="70"/>
      <c r="E1072" s="98"/>
      <c r="F1072" s="70" t="b">
        <v>0</v>
      </c>
      <c r="G1072" s="62"/>
    </row>
    <row r="1073" spans="1:7" ht="13.2">
      <c r="A1073" s="62"/>
      <c r="B1073" s="90"/>
      <c r="C1073" s="66"/>
      <c r="D1073" s="66"/>
      <c r="E1073" s="99"/>
      <c r="F1073" s="66" t="b">
        <v>0</v>
      </c>
      <c r="G1073" s="62"/>
    </row>
    <row r="1074" spans="1:7" ht="13.2">
      <c r="A1074" s="62"/>
      <c r="B1074" s="96"/>
      <c r="C1074" s="70"/>
      <c r="D1074" s="70"/>
      <c r="E1074" s="98"/>
      <c r="F1074" s="70" t="b">
        <v>0</v>
      </c>
      <c r="G1074" s="62"/>
    </row>
    <row r="1075" spans="1:7" ht="13.2">
      <c r="A1075" s="62"/>
      <c r="B1075" s="90"/>
      <c r="C1075" s="66"/>
      <c r="D1075" s="66"/>
      <c r="E1075" s="99"/>
      <c r="F1075" s="66" t="b">
        <v>0</v>
      </c>
      <c r="G1075" s="62"/>
    </row>
    <row r="1076" spans="1:7" ht="13.2">
      <c r="A1076" s="62"/>
      <c r="B1076" s="96"/>
      <c r="C1076" s="70"/>
      <c r="D1076" s="70"/>
      <c r="E1076" s="98"/>
      <c r="F1076" s="70" t="b">
        <v>0</v>
      </c>
      <c r="G1076" s="62"/>
    </row>
    <row r="1077" spans="1:7" ht="13.2">
      <c r="A1077" s="62"/>
      <c r="B1077" s="90"/>
      <c r="C1077" s="66"/>
      <c r="D1077" s="66"/>
      <c r="E1077" s="99"/>
      <c r="F1077" s="66" t="b">
        <v>0</v>
      </c>
      <c r="G1077" s="62"/>
    </row>
    <row r="1078" spans="1:7" ht="13.2">
      <c r="A1078" s="62"/>
      <c r="B1078" s="96"/>
      <c r="C1078" s="70"/>
      <c r="D1078" s="70"/>
      <c r="E1078" s="98"/>
      <c r="F1078" s="70" t="b">
        <v>0</v>
      </c>
      <c r="G1078" s="62"/>
    </row>
    <row r="1079" spans="1:7" ht="13.2">
      <c r="A1079" s="62"/>
      <c r="B1079" s="90"/>
      <c r="C1079" s="66"/>
      <c r="D1079" s="66"/>
      <c r="E1079" s="99"/>
      <c r="F1079" s="66" t="b">
        <v>0</v>
      </c>
      <c r="G1079" s="62"/>
    </row>
    <row r="1080" spans="1:7" ht="13.2">
      <c r="A1080" s="62"/>
      <c r="B1080" s="96"/>
      <c r="C1080" s="70"/>
      <c r="D1080" s="70"/>
      <c r="E1080" s="98"/>
      <c r="F1080" s="70" t="b">
        <v>0</v>
      </c>
      <c r="G1080" s="62"/>
    </row>
    <row r="1081" spans="1:7" ht="13.2">
      <c r="A1081" s="62"/>
      <c r="B1081" s="90"/>
      <c r="C1081" s="66"/>
      <c r="D1081" s="66"/>
      <c r="E1081" s="99"/>
      <c r="F1081" s="66" t="b">
        <v>0</v>
      </c>
      <c r="G1081" s="62"/>
    </row>
    <row r="1082" spans="1:7" ht="13.2">
      <c r="A1082" s="62"/>
      <c r="B1082" s="96"/>
      <c r="C1082" s="70"/>
      <c r="D1082" s="70"/>
      <c r="E1082" s="98"/>
      <c r="F1082" s="70" t="b">
        <v>0</v>
      </c>
      <c r="G1082" s="62"/>
    </row>
    <row r="1083" spans="1:7" ht="13.2">
      <c r="A1083" s="62"/>
      <c r="B1083" s="90"/>
      <c r="C1083" s="66"/>
      <c r="D1083" s="66"/>
      <c r="E1083" s="99"/>
      <c r="F1083" s="66" t="b">
        <v>0</v>
      </c>
      <c r="G1083" s="62"/>
    </row>
    <row r="1084" spans="1:7" ht="13.2">
      <c r="A1084" s="62"/>
      <c r="B1084" s="96"/>
      <c r="C1084" s="70"/>
      <c r="D1084" s="70"/>
      <c r="E1084" s="98"/>
      <c r="F1084" s="70" t="b">
        <v>0</v>
      </c>
      <c r="G1084" s="62"/>
    </row>
    <row r="1085" spans="1:7" ht="13.2">
      <c r="A1085" s="62"/>
      <c r="B1085" s="90"/>
      <c r="C1085" s="66"/>
      <c r="D1085" s="66"/>
      <c r="E1085" s="99"/>
      <c r="F1085" s="66" t="b">
        <v>0</v>
      </c>
      <c r="G1085" s="62"/>
    </row>
    <row r="1086" spans="1:7" ht="13.2">
      <c r="A1086" s="62"/>
      <c r="B1086" s="96"/>
      <c r="C1086" s="70"/>
      <c r="D1086" s="70"/>
      <c r="E1086" s="98"/>
      <c r="F1086" s="70" t="b">
        <v>0</v>
      </c>
      <c r="G1086" s="62"/>
    </row>
    <row r="1087" spans="1:7" ht="13.2">
      <c r="A1087" s="62"/>
      <c r="B1087" s="90"/>
      <c r="C1087" s="66"/>
      <c r="D1087" s="66"/>
      <c r="E1087" s="99"/>
      <c r="F1087" s="66" t="b">
        <v>0</v>
      </c>
      <c r="G1087" s="62"/>
    </row>
    <row r="1088" spans="1:7" ht="13.2">
      <c r="A1088" s="62"/>
      <c r="B1088" s="96"/>
      <c r="C1088" s="70"/>
      <c r="D1088" s="70"/>
      <c r="E1088" s="98"/>
      <c r="F1088" s="70" t="b">
        <v>0</v>
      </c>
      <c r="G1088" s="62"/>
    </row>
    <row r="1089" spans="1:7" ht="13.2">
      <c r="A1089" s="62"/>
      <c r="B1089" s="90"/>
      <c r="C1089" s="66"/>
      <c r="D1089" s="66"/>
      <c r="E1089" s="99"/>
      <c r="F1089" s="66" t="b">
        <v>0</v>
      </c>
      <c r="G1089" s="62"/>
    </row>
    <row r="1090" spans="1:7" ht="13.2">
      <c r="A1090" s="62"/>
      <c r="B1090" s="96"/>
      <c r="C1090" s="70"/>
      <c r="D1090" s="70"/>
      <c r="E1090" s="98"/>
      <c r="F1090" s="70" t="b">
        <v>0</v>
      </c>
      <c r="G1090" s="62"/>
    </row>
    <row r="1091" spans="1:7" ht="13.2">
      <c r="A1091" s="62"/>
      <c r="B1091" s="90"/>
      <c r="C1091" s="66"/>
      <c r="D1091" s="66"/>
      <c r="E1091" s="99"/>
      <c r="F1091" s="66" t="b">
        <v>0</v>
      </c>
      <c r="G1091" s="62"/>
    </row>
    <row r="1092" spans="1:7" ht="13.2">
      <c r="A1092" s="62"/>
      <c r="B1092" s="96"/>
      <c r="C1092" s="70"/>
      <c r="D1092" s="70"/>
      <c r="E1092" s="98"/>
      <c r="F1092" s="70" t="b">
        <v>0</v>
      </c>
      <c r="G1092" s="62"/>
    </row>
    <row r="1093" spans="1:7" ht="13.2">
      <c r="A1093" s="62"/>
      <c r="B1093" s="90"/>
      <c r="C1093" s="66"/>
      <c r="D1093" s="66"/>
      <c r="E1093" s="99"/>
      <c r="F1093" s="66" t="b">
        <v>0</v>
      </c>
      <c r="G1093" s="62"/>
    </row>
    <row r="1094" spans="1:7" ht="13.2">
      <c r="A1094" s="62"/>
      <c r="B1094" s="96"/>
      <c r="C1094" s="70"/>
      <c r="D1094" s="70"/>
      <c r="E1094" s="98"/>
      <c r="F1094" s="70" t="b">
        <v>0</v>
      </c>
      <c r="G1094" s="62"/>
    </row>
    <row r="1095" spans="1:7" ht="13.2">
      <c r="A1095" s="62"/>
      <c r="B1095" s="90"/>
      <c r="C1095" s="66"/>
      <c r="D1095" s="66"/>
      <c r="E1095" s="99"/>
      <c r="F1095" s="66" t="b">
        <v>0</v>
      </c>
      <c r="G1095" s="62"/>
    </row>
    <row r="1096" spans="1:7" ht="13.2">
      <c r="A1096" s="62"/>
      <c r="B1096" s="96"/>
      <c r="C1096" s="70"/>
      <c r="D1096" s="70"/>
      <c r="E1096" s="98"/>
      <c r="F1096" s="70" t="b">
        <v>0</v>
      </c>
      <c r="G1096" s="62"/>
    </row>
    <row r="1097" spans="1:7" ht="13.2">
      <c r="A1097" s="62"/>
      <c r="B1097" s="90"/>
      <c r="C1097" s="66"/>
      <c r="D1097" s="66"/>
      <c r="E1097" s="99"/>
      <c r="F1097" s="66" t="b">
        <v>0</v>
      </c>
      <c r="G1097" s="62"/>
    </row>
    <row r="1098" spans="1:7" ht="13.2">
      <c r="A1098" s="62"/>
      <c r="B1098" s="96"/>
      <c r="C1098" s="70"/>
      <c r="D1098" s="70"/>
      <c r="E1098" s="98"/>
      <c r="F1098" s="70" t="b">
        <v>0</v>
      </c>
      <c r="G1098" s="62"/>
    </row>
    <row r="1099" spans="1:7" ht="13.2">
      <c r="A1099" s="62"/>
      <c r="B1099" s="90"/>
      <c r="C1099" s="66"/>
      <c r="D1099" s="66"/>
      <c r="E1099" s="99"/>
      <c r="F1099" s="66" t="b">
        <v>0</v>
      </c>
      <c r="G1099" s="62"/>
    </row>
    <row r="1100" spans="1:7" ht="13.2">
      <c r="A1100" s="62"/>
      <c r="B1100" s="96"/>
      <c r="C1100" s="70"/>
      <c r="D1100" s="70"/>
      <c r="E1100" s="98"/>
      <c r="F1100" s="70" t="b">
        <v>0</v>
      </c>
      <c r="G1100" s="62"/>
    </row>
    <row r="1101" spans="1:7" ht="13.2">
      <c r="A1101" s="62"/>
      <c r="B1101" s="90"/>
      <c r="C1101" s="66"/>
      <c r="D1101" s="66"/>
      <c r="E1101" s="99"/>
      <c r="F1101" s="66" t="b">
        <v>0</v>
      </c>
      <c r="G1101" s="62"/>
    </row>
    <row r="1102" spans="1:7" ht="13.2">
      <c r="A1102" s="62"/>
      <c r="B1102" s="96"/>
      <c r="C1102" s="70"/>
      <c r="D1102" s="70"/>
      <c r="E1102" s="98"/>
      <c r="F1102" s="70" t="b">
        <v>0</v>
      </c>
      <c r="G1102" s="62"/>
    </row>
    <row r="1103" spans="1:7" ht="13.2">
      <c r="A1103" s="62"/>
      <c r="B1103" s="90"/>
      <c r="C1103" s="66"/>
      <c r="D1103" s="66"/>
      <c r="E1103" s="99"/>
      <c r="F1103" s="66" t="b">
        <v>0</v>
      </c>
      <c r="G1103" s="62"/>
    </row>
    <row r="1104" spans="1:7" ht="13.2">
      <c r="A1104" s="62"/>
      <c r="B1104" s="96"/>
      <c r="C1104" s="70"/>
      <c r="D1104" s="70"/>
      <c r="E1104" s="98"/>
      <c r="F1104" s="70" t="b">
        <v>0</v>
      </c>
      <c r="G1104" s="62"/>
    </row>
    <row r="1105" spans="1:7" ht="13.2">
      <c r="A1105" s="62"/>
      <c r="B1105" s="90"/>
      <c r="C1105" s="66"/>
      <c r="D1105" s="66"/>
      <c r="E1105" s="99"/>
      <c r="F1105" s="66" t="b">
        <v>0</v>
      </c>
      <c r="G1105" s="62"/>
    </row>
    <row r="1106" spans="1:7" ht="13.2">
      <c r="A1106" s="62"/>
      <c r="B1106" s="96"/>
      <c r="C1106" s="70"/>
      <c r="D1106" s="70"/>
      <c r="E1106" s="98"/>
      <c r="F1106" s="70" t="b">
        <v>0</v>
      </c>
      <c r="G1106" s="62"/>
    </row>
    <row r="1107" spans="1:7" ht="13.2">
      <c r="A1107" s="62"/>
      <c r="B1107" s="90"/>
      <c r="C1107" s="66"/>
      <c r="D1107" s="66"/>
      <c r="E1107" s="99"/>
      <c r="F1107" s="66" t="b">
        <v>0</v>
      </c>
      <c r="G1107" s="62"/>
    </row>
    <row r="1108" spans="1:7" ht="13.2">
      <c r="A1108" s="62"/>
      <c r="B1108" s="96"/>
      <c r="C1108" s="70"/>
      <c r="D1108" s="70"/>
      <c r="E1108" s="98"/>
      <c r="F1108" s="70" t="b">
        <v>0</v>
      </c>
      <c r="G1108" s="62"/>
    </row>
    <row r="1109" spans="1:7" ht="13.2">
      <c r="A1109" s="62"/>
      <c r="B1109" s="90"/>
      <c r="C1109" s="66"/>
      <c r="D1109" s="66"/>
      <c r="E1109" s="99"/>
      <c r="F1109" s="66" t="b">
        <v>0</v>
      </c>
      <c r="G1109" s="62"/>
    </row>
    <row r="1110" spans="1:7" ht="13.2">
      <c r="A1110" s="62"/>
      <c r="B1110" s="96"/>
      <c r="C1110" s="70"/>
      <c r="D1110" s="70"/>
      <c r="E1110" s="98"/>
      <c r="F1110" s="70" t="b">
        <v>0</v>
      </c>
      <c r="G1110" s="62"/>
    </row>
    <row r="1111" spans="1:7" ht="13.2">
      <c r="A1111" s="62"/>
      <c r="B1111" s="90"/>
      <c r="C1111" s="66"/>
      <c r="D1111" s="66"/>
      <c r="E1111" s="99"/>
      <c r="F1111" s="66" t="b">
        <v>0</v>
      </c>
      <c r="G1111" s="62"/>
    </row>
    <row r="1112" spans="1:7" ht="13.2">
      <c r="A1112" s="62"/>
      <c r="B1112" s="96"/>
      <c r="C1112" s="70"/>
      <c r="D1112" s="70"/>
      <c r="E1112" s="98"/>
      <c r="F1112" s="70" t="b">
        <v>0</v>
      </c>
      <c r="G1112" s="62"/>
    </row>
    <row r="1113" spans="1:7" ht="13.2">
      <c r="A1113" s="62"/>
      <c r="B1113" s="90"/>
      <c r="C1113" s="66"/>
      <c r="D1113" s="66"/>
      <c r="E1113" s="99"/>
      <c r="F1113" s="66" t="b">
        <v>0</v>
      </c>
      <c r="G1113" s="62"/>
    </row>
    <row r="1114" spans="1:7" ht="13.2">
      <c r="A1114" s="62"/>
      <c r="B1114" s="96"/>
      <c r="C1114" s="70"/>
      <c r="D1114" s="70"/>
      <c r="E1114" s="98"/>
      <c r="F1114" s="70" t="b">
        <v>0</v>
      </c>
      <c r="G1114" s="62"/>
    </row>
    <row r="1115" spans="1:7" ht="13.2">
      <c r="A1115" s="62"/>
      <c r="B1115" s="90"/>
      <c r="C1115" s="66"/>
      <c r="D1115" s="66"/>
      <c r="E1115" s="99"/>
      <c r="F1115" s="66" t="b">
        <v>0</v>
      </c>
      <c r="G1115" s="62"/>
    </row>
    <row r="1116" spans="1:7" ht="13.2">
      <c r="A1116" s="62"/>
      <c r="B1116" s="96"/>
      <c r="C1116" s="70"/>
      <c r="D1116" s="70"/>
      <c r="E1116" s="98"/>
      <c r="F1116" s="70" t="b">
        <v>0</v>
      </c>
      <c r="G1116" s="62"/>
    </row>
    <row r="1117" spans="1:7" ht="13.2">
      <c r="A1117" s="62"/>
      <c r="B1117" s="90"/>
      <c r="C1117" s="66"/>
      <c r="D1117" s="66"/>
      <c r="E1117" s="99"/>
      <c r="F1117" s="66" t="b">
        <v>0</v>
      </c>
      <c r="G1117" s="62"/>
    </row>
    <row r="1118" spans="1:7" ht="13.2">
      <c r="A1118" s="62"/>
      <c r="B1118" s="96"/>
      <c r="C1118" s="70"/>
      <c r="D1118" s="70"/>
      <c r="E1118" s="98"/>
      <c r="F1118" s="70" t="b">
        <v>0</v>
      </c>
      <c r="G1118" s="62"/>
    </row>
    <row r="1119" spans="1:7" ht="13.2">
      <c r="A1119" s="62"/>
      <c r="B1119" s="90"/>
      <c r="C1119" s="66"/>
      <c r="D1119" s="66"/>
      <c r="E1119" s="99"/>
      <c r="F1119" s="66" t="b">
        <v>0</v>
      </c>
      <c r="G1119" s="62"/>
    </row>
    <row r="1120" spans="1:7" ht="13.2">
      <c r="A1120" s="62"/>
      <c r="B1120" s="96"/>
      <c r="C1120" s="70"/>
      <c r="D1120" s="70"/>
      <c r="E1120" s="98"/>
      <c r="F1120" s="70" t="b">
        <v>0</v>
      </c>
      <c r="G1120" s="62"/>
    </row>
    <row r="1121" spans="1:7" ht="13.2">
      <c r="A1121" s="62"/>
      <c r="B1121" s="90"/>
      <c r="C1121" s="66"/>
      <c r="D1121" s="66"/>
      <c r="E1121" s="99"/>
      <c r="F1121" s="66" t="b">
        <v>0</v>
      </c>
      <c r="G1121" s="62"/>
    </row>
    <row r="1122" spans="1:7" ht="13.2">
      <c r="A1122" s="62"/>
      <c r="B1122" s="96"/>
      <c r="C1122" s="70"/>
      <c r="D1122" s="70"/>
      <c r="E1122" s="98"/>
      <c r="F1122" s="70" t="b">
        <v>0</v>
      </c>
      <c r="G1122" s="62"/>
    </row>
    <row r="1123" spans="1:7" ht="13.2">
      <c r="A1123" s="62"/>
      <c r="B1123" s="90"/>
      <c r="C1123" s="66"/>
      <c r="D1123" s="66"/>
      <c r="E1123" s="99"/>
      <c r="F1123" s="66" t="b">
        <v>0</v>
      </c>
      <c r="G1123" s="62"/>
    </row>
    <row r="1124" spans="1:7" ht="13.2">
      <c r="A1124" s="62"/>
      <c r="B1124" s="96"/>
      <c r="C1124" s="70"/>
      <c r="D1124" s="70"/>
      <c r="E1124" s="98"/>
      <c r="F1124" s="70" t="b">
        <v>0</v>
      </c>
      <c r="G1124" s="62"/>
    </row>
    <row r="1125" spans="1:7" ht="13.2">
      <c r="A1125" s="62"/>
      <c r="B1125" s="90"/>
      <c r="C1125" s="66"/>
      <c r="D1125" s="66"/>
      <c r="E1125" s="99"/>
      <c r="F1125" s="66" t="b">
        <v>0</v>
      </c>
      <c r="G1125" s="62"/>
    </row>
    <row r="1126" spans="1:7" ht="13.2">
      <c r="A1126" s="62"/>
      <c r="B1126" s="96"/>
      <c r="C1126" s="70"/>
      <c r="D1126" s="70"/>
      <c r="E1126" s="98"/>
      <c r="F1126" s="70" t="b">
        <v>0</v>
      </c>
      <c r="G1126" s="62"/>
    </row>
    <row r="1127" spans="1:7" ht="13.2">
      <c r="A1127" s="62"/>
      <c r="B1127" s="90"/>
      <c r="C1127" s="66"/>
      <c r="D1127" s="66"/>
      <c r="E1127" s="99"/>
      <c r="F1127" s="66" t="b">
        <v>0</v>
      </c>
      <c r="G1127" s="62"/>
    </row>
    <row r="1128" spans="1:7" ht="13.2">
      <c r="A1128" s="62"/>
      <c r="B1128" s="96"/>
      <c r="C1128" s="70"/>
      <c r="D1128" s="70"/>
      <c r="E1128" s="98"/>
      <c r="F1128" s="70" t="b">
        <v>0</v>
      </c>
      <c r="G1128" s="62"/>
    </row>
    <row r="1129" spans="1:7" ht="13.2">
      <c r="A1129" s="62"/>
      <c r="B1129" s="90"/>
      <c r="C1129" s="66"/>
      <c r="D1129" s="66"/>
      <c r="E1129" s="99"/>
      <c r="F1129" s="66" t="b">
        <v>0</v>
      </c>
      <c r="G1129" s="62"/>
    </row>
    <row r="1130" spans="1:7" ht="13.2">
      <c r="A1130" s="62"/>
      <c r="B1130" s="96"/>
      <c r="C1130" s="70"/>
      <c r="D1130" s="70"/>
      <c r="E1130" s="98"/>
      <c r="F1130" s="70" t="b">
        <v>0</v>
      </c>
      <c r="G1130" s="62"/>
    </row>
    <row r="1131" spans="1:7" ht="13.2">
      <c r="A1131" s="62"/>
      <c r="B1131" s="90"/>
      <c r="C1131" s="66"/>
      <c r="D1131" s="66"/>
      <c r="E1131" s="99"/>
      <c r="F1131" s="66" t="b">
        <v>0</v>
      </c>
      <c r="G1131" s="62"/>
    </row>
    <row r="1132" spans="1:7" ht="13.2">
      <c r="A1132" s="62"/>
      <c r="B1132" s="96"/>
      <c r="C1132" s="70"/>
      <c r="D1132" s="70"/>
      <c r="E1132" s="98"/>
      <c r="F1132" s="70" t="b">
        <v>0</v>
      </c>
      <c r="G1132" s="62"/>
    </row>
    <row r="1133" spans="1:7" ht="13.2">
      <c r="A1133" s="62"/>
      <c r="B1133" s="90"/>
      <c r="C1133" s="66"/>
      <c r="D1133" s="66"/>
      <c r="E1133" s="99"/>
      <c r="F1133" s="66" t="b">
        <v>0</v>
      </c>
      <c r="G1133" s="62"/>
    </row>
    <row r="1134" spans="1:7" ht="13.2">
      <c r="A1134" s="62"/>
      <c r="B1134" s="96"/>
      <c r="C1134" s="70"/>
      <c r="D1134" s="70"/>
      <c r="E1134" s="98"/>
      <c r="F1134" s="70" t="b">
        <v>0</v>
      </c>
      <c r="G1134" s="62"/>
    </row>
    <row r="1135" spans="1:7" ht="13.2">
      <c r="A1135" s="62"/>
      <c r="B1135" s="90"/>
      <c r="C1135" s="66"/>
      <c r="D1135" s="66"/>
      <c r="E1135" s="99"/>
      <c r="F1135" s="66" t="b">
        <v>0</v>
      </c>
      <c r="G1135" s="62"/>
    </row>
    <row r="1136" spans="1:7" ht="13.2">
      <c r="A1136" s="62"/>
      <c r="B1136" s="96"/>
      <c r="C1136" s="70"/>
      <c r="D1136" s="70"/>
      <c r="E1136" s="98"/>
      <c r="F1136" s="70" t="b">
        <v>0</v>
      </c>
      <c r="G1136" s="62"/>
    </row>
    <row r="1137" spans="1:7" ht="13.2">
      <c r="A1137" s="62"/>
      <c r="B1137" s="90"/>
      <c r="C1137" s="66"/>
      <c r="D1137" s="66"/>
      <c r="E1137" s="99"/>
      <c r="F1137" s="66" t="b">
        <v>0</v>
      </c>
      <c r="G1137" s="62"/>
    </row>
    <row r="1138" spans="1:7" ht="13.2">
      <c r="A1138" s="62"/>
      <c r="B1138" s="96"/>
      <c r="C1138" s="70"/>
      <c r="D1138" s="70"/>
      <c r="E1138" s="98"/>
      <c r="F1138" s="70" t="b">
        <v>0</v>
      </c>
      <c r="G1138" s="62"/>
    </row>
    <row r="1139" spans="1:7" ht="13.2">
      <c r="A1139" s="62"/>
      <c r="B1139" s="90"/>
      <c r="C1139" s="66"/>
      <c r="D1139" s="66"/>
      <c r="E1139" s="99"/>
      <c r="F1139" s="66" t="b">
        <v>0</v>
      </c>
      <c r="G1139" s="62"/>
    </row>
    <row r="1140" spans="1:7" ht="13.2">
      <c r="A1140" s="62"/>
      <c r="B1140" s="96"/>
      <c r="C1140" s="70"/>
      <c r="D1140" s="70"/>
      <c r="E1140" s="98"/>
      <c r="F1140" s="70" t="b">
        <v>0</v>
      </c>
      <c r="G1140" s="62"/>
    </row>
    <row r="1141" spans="1:7" ht="13.2">
      <c r="A1141" s="62"/>
      <c r="B1141" s="90"/>
      <c r="C1141" s="66"/>
      <c r="D1141" s="66"/>
      <c r="E1141" s="99"/>
      <c r="F1141" s="66" t="b">
        <v>0</v>
      </c>
      <c r="G1141" s="62"/>
    </row>
    <row r="1142" spans="1:7" ht="13.2">
      <c r="A1142" s="62"/>
      <c r="B1142" s="96"/>
      <c r="C1142" s="70"/>
      <c r="D1142" s="70"/>
      <c r="E1142" s="98"/>
      <c r="F1142" s="70" t="b">
        <v>0</v>
      </c>
      <c r="G1142" s="62"/>
    </row>
    <row r="1143" spans="1:7" ht="13.2">
      <c r="A1143" s="62"/>
      <c r="B1143" s="90"/>
      <c r="C1143" s="66"/>
      <c r="D1143" s="66"/>
      <c r="E1143" s="99"/>
      <c r="F1143" s="66" t="b">
        <v>0</v>
      </c>
      <c r="G1143" s="62"/>
    </row>
    <row r="1144" spans="1:7" ht="13.2">
      <c r="A1144" s="62"/>
      <c r="B1144" s="96"/>
      <c r="C1144" s="70"/>
      <c r="D1144" s="70"/>
      <c r="E1144" s="98"/>
      <c r="F1144" s="70" t="b">
        <v>0</v>
      </c>
      <c r="G1144" s="62"/>
    </row>
    <row r="1145" spans="1:7" ht="13.2">
      <c r="A1145" s="62"/>
      <c r="B1145" s="90"/>
      <c r="C1145" s="66"/>
      <c r="D1145" s="66"/>
      <c r="E1145" s="99"/>
      <c r="F1145" s="66" t="b">
        <v>0</v>
      </c>
      <c r="G1145" s="62"/>
    </row>
    <row r="1146" spans="1:7" ht="13.2">
      <c r="A1146" s="62"/>
      <c r="B1146" s="96"/>
      <c r="C1146" s="70"/>
      <c r="D1146" s="70"/>
      <c r="E1146" s="98"/>
      <c r="F1146" s="70" t="b">
        <v>0</v>
      </c>
      <c r="G1146" s="62"/>
    </row>
    <row r="1147" spans="1:7" ht="13.2">
      <c r="A1147" s="62"/>
      <c r="B1147" s="90"/>
      <c r="C1147" s="66"/>
      <c r="D1147" s="66"/>
      <c r="E1147" s="99"/>
      <c r="F1147" s="66" t="b">
        <v>0</v>
      </c>
      <c r="G1147" s="62"/>
    </row>
    <row r="1148" spans="1:7" ht="13.2">
      <c r="A1148" s="62"/>
      <c r="B1148" s="96"/>
      <c r="C1148" s="70"/>
      <c r="D1148" s="70"/>
      <c r="E1148" s="98"/>
      <c r="F1148" s="70" t="b">
        <v>0</v>
      </c>
      <c r="G1148" s="62"/>
    </row>
    <row r="1149" spans="1:7" ht="13.2">
      <c r="A1149" s="62"/>
      <c r="B1149" s="90"/>
      <c r="C1149" s="66"/>
      <c r="D1149" s="66"/>
      <c r="E1149" s="99"/>
      <c r="F1149" s="66" t="b">
        <v>0</v>
      </c>
      <c r="G1149" s="62"/>
    </row>
    <row r="1150" spans="1:7" ht="13.2">
      <c r="A1150" s="62"/>
      <c r="B1150" s="96"/>
      <c r="C1150" s="70"/>
      <c r="D1150" s="70"/>
      <c r="E1150" s="98"/>
      <c r="F1150" s="70" t="b">
        <v>0</v>
      </c>
      <c r="G1150" s="62"/>
    </row>
    <row r="1151" spans="1:7" ht="13.2">
      <c r="A1151" s="62"/>
      <c r="B1151" s="90"/>
      <c r="C1151" s="66"/>
      <c r="D1151" s="66"/>
      <c r="E1151" s="99"/>
      <c r="F1151" s="66" t="b">
        <v>0</v>
      </c>
      <c r="G1151" s="62"/>
    </row>
    <row r="1152" spans="1:7" ht="13.2">
      <c r="A1152" s="62"/>
      <c r="B1152" s="96"/>
      <c r="C1152" s="70"/>
      <c r="D1152" s="70"/>
      <c r="E1152" s="98"/>
      <c r="F1152" s="70" t="b">
        <v>0</v>
      </c>
      <c r="G1152" s="62"/>
    </row>
    <row r="1153" spans="1:7" ht="13.2">
      <c r="A1153" s="62"/>
      <c r="B1153" s="90"/>
      <c r="C1153" s="66"/>
      <c r="D1153" s="66"/>
      <c r="E1153" s="99"/>
      <c r="F1153" s="66" t="b">
        <v>0</v>
      </c>
      <c r="G1153" s="62"/>
    </row>
    <row r="1154" spans="1:7" ht="13.2">
      <c r="A1154" s="62"/>
      <c r="B1154" s="96"/>
      <c r="C1154" s="70"/>
      <c r="D1154" s="70"/>
      <c r="E1154" s="98"/>
      <c r="F1154" s="70" t="b">
        <v>0</v>
      </c>
      <c r="G1154" s="62"/>
    </row>
    <row r="1155" spans="1:7" ht="13.2">
      <c r="A1155" s="62"/>
      <c r="B1155" s="90"/>
      <c r="C1155" s="66"/>
      <c r="D1155" s="66"/>
      <c r="E1155" s="99"/>
      <c r="F1155" s="66" t="b">
        <v>0</v>
      </c>
      <c r="G1155" s="62"/>
    </row>
    <row r="1156" spans="1:7" ht="13.2">
      <c r="A1156" s="62"/>
      <c r="B1156" s="96"/>
      <c r="C1156" s="70"/>
      <c r="D1156" s="70"/>
      <c r="E1156" s="98"/>
      <c r="F1156" s="70" t="b">
        <v>0</v>
      </c>
      <c r="G1156" s="62"/>
    </row>
    <row r="1157" spans="1:7" ht="13.2">
      <c r="A1157" s="62"/>
      <c r="B1157" s="90"/>
      <c r="C1157" s="66"/>
      <c r="D1157" s="66"/>
      <c r="E1157" s="99"/>
      <c r="F1157" s="66" t="b">
        <v>0</v>
      </c>
      <c r="G1157" s="62"/>
    </row>
    <row r="1158" spans="1:7" ht="13.2">
      <c r="A1158" s="62"/>
      <c r="B1158" s="96"/>
      <c r="C1158" s="70"/>
      <c r="D1158" s="70"/>
      <c r="E1158" s="98"/>
      <c r="F1158" s="70" t="b">
        <v>0</v>
      </c>
      <c r="G1158" s="62"/>
    </row>
    <row r="1159" spans="1:7" ht="13.2">
      <c r="A1159" s="62"/>
      <c r="B1159" s="90"/>
      <c r="C1159" s="66"/>
      <c r="D1159" s="66"/>
      <c r="E1159" s="99"/>
      <c r="F1159" s="66" t="b">
        <v>0</v>
      </c>
      <c r="G1159" s="62"/>
    </row>
    <row r="1160" spans="1:7" ht="13.2">
      <c r="A1160" s="62"/>
      <c r="B1160" s="96"/>
      <c r="C1160" s="70"/>
      <c r="D1160" s="70"/>
      <c r="E1160" s="98"/>
      <c r="F1160" s="70" t="b">
        <v>0</v>
      </c>
      <c r="G1160" s="62"/>
    </row>
    <row r="1161" spans="1:7" ht="13.2">
      <c r="A1161" s="62"/>
      <c r="B1161" s="90"/>
      <c r="C1161" s="66"/>
      <c r="D1161" s="66"/>
      <c r="E1161" s="99"/>
      <c r="F1161" s="66" t="b">
        <v>0</v>
      </c>
      <c r="G1161" s="62"/>
    </row>
    <row r="1162" spans="1:7" ht="13.2">
      <c r="A1162" s="62"/>
      <c r="B1162" s="96"/>
      <c r="C1162" s="70"/>
      <c r="D1162" s="70"/>
      <c r="E1162" s="98"/>
      <c r="F1162" s="70" t="b">
        <v>0</v>
      </c>
      <c r="G1162" s="62"/>
    </row>
    <row r="1163" spans="1:7" ht="13.2">
      <c r="A1163" s="62"/>
      <c r="B1163" s="90"/>
      <c r="C1163" s="66"/>
      <c r="D1163" s="66"/>
      <c r="E1163" s="99"/>
      <c r="F1163" s="66" t="b">
        <v>0</v>
      </c>
      <c r="G1163" s="62"/>
    </row>
    <row r="1164" spans="1:7" ht="13.2">
      <c r="A1164" s="62"/>
      <c r="B1164" s="96"/>
      <c r="C1164" s="70"/>
      <c r="D1164" s="70"/>
      <c r="E1164" s="98"/>
      <c r="F1164" s="70" t="b">
        <v>0</v>
      </c>
      <c r="G1164" s="62"/>
    </row>
    <row r="1165" spans="1:7" ht="13.2">
      <c r="A1165" s="62"/>
      <c r="B1165" s="90"/>
      <c r="C1165" s="66"/>
      <c r="D1165" s="66"/>
      <c r="E1165" s="99"/>
      <c r="F1165" s="66" t="b">
        <v>0</v>
      </c>
      <c r="G1165" s="62"/>
    </row>
    <row r="1166" spans="1:7" ht="13.2">
      <c r="A1166" s="62"/>
      <c r="B1166" s="96"/>
      <c r="C1166" s="70"/>
      <c r="D1166" s="70"/>
      <c r="E1166" s="98"/>
      <c r="F1166" s="70" t="b">
        <v>0</v>
      </c>
      <c r="G1166" s="62"/>
    </row>
    <row r="1167" spans="1:7" ht="13.2">
      <c r="A1167" s="62"/>
      <c r="B1167" s="90"/>
      <c r="C1167" s="66"/>
      <c r="D1167" s="66"/>
      <c r="E1167" s="99"/>
      <c r="F1167" s="66" t="b">
        <v>0</v>
      </c>
      <c r="G1167" s="62"/>
    </row>
    <row r="1168" spans="1:7" ht="13.2">
      <c r="A1168" s="62"/>
      <c r="B1168" s="96"/>
      <c r="C1168" s="70"/>
      <c r="D1168" s="70"/>
      <c r="E1168" s="98"/>
      <c r="F1168" s="70" t="b">
        <v>0</v>
      </c>
      <c r="G1168" s="62"/>
    </row>
    <row r="1169" spans="1:7" ht="13.2">
      <c r="A1169" s="62"/>
      <c r="B1169" s="90"/>
      <c r="C1169" s="66"/>
      <c r="D1169" s="66"/>
      <c r="E1169" s="99"/>
      <c r="F1169" s="66" t="b">
        <v>0</v>
      </c>
      <c r="G1169" s="62"/>
    </row>
    <row r="1170" spans="1:7" ht="13.2">
      <c r="A1170" s="62"/>
      <c r="B1170" s="96"/>
      <c r="C1170" s="70"/>
      <c r="D1170" s="70"/>
      <c r="E1170" s="98"/>
      <c r="F1170" s="70" t="b">
        <v>0</v>
      </c>
      <c r="G1170" s="62"/>
    </row>
    <row r="1171" spans="1:7" ht="13.2">
      <c r="A1171" s="62"/>
      <c r="B1171" s="90"/>
      <c r="C1171" s="66"/>
      <c r="D1171" s="66"/>
      <c r="E1171" s="99"/>
      <c r="F1171" s="66" t="b">
        <v>0</v>
      </c>
      <c r="G1171" s="62"/>
    </row>
    <row r="1172" spans="1:7" ht="13.2">
      <c r="A1172" s="62"/>
      <c r="B1172" s="96"/>
      <c r="C1172" s="70"/>
      <c r="D1172" s="70"/>
      <c r="E1172" s="98"/>
      <c r="F1172" s="70" t="b">
        <v>0</v>
      </c>
      <c r="G1172" s="62"/>
    </row>
    <row r="1173" spans="1:7" ht="13.2">
      <c r="A1173" s="62"/>
      <c r="B1173" s="90"/>
      <c r="C1173" s="66"/>
      <c r="D1173" s="66"/>
      <c r="E1173" s="99"/>
      <c r="F1173" s="66" t="b">
        <v>0</v>
      </c>
      <c r="G1173" s="62"/>
    </row>
    <row r="1174" spans="1:7" ht="13.2">
      <c r="A1174" s="62"/>
      <c r="B1174" s="96"/>
      <c r="C1174" s="70"/>
      <c r="D1174" s="70"/>
      <c r="E1174" s="98"/>
      <c r="F1174" s="70" t="b">
        <v>0</v>
      </c>
      <c r="G1174" s="62"/>
    </row>
    <row r="1175" spans="1:7" ht="13.2">
      <c r="A1175" s="62"/>
      <c r="B1175" s="90"/>
      <c r="C1175" s="66"/>
      <c r="D1175" s="66"/>
      <c r="E1175" s="99"/>
      <c r="F1175" s="66" t="b">
        <v>0</v>
      </c>
      <c r="G1175" s="62"/>
    </row>
    <row r="1176" spans="1:7" ht="13.2">
      <c r="A1176" s="62"/>
      <c r="B1176" s="96"/>
      <c r="C1176" s="70"/>
      <c r="D1176" s="70"/>
      <c r="E1176" s="98"/>
      <c r="F1176" s="70" t="b">
        <v>0</v>
      </c>
      <c r="G1176" s="62"/>
    </row>
    <row r="1177" spans="1:7" ht="13.2">
      <c r="A1177" s="62"/>
      <c r="B1177" s="90"/>
      <c r="C1177" s="66"/>
      <c r="D1177" s="66"/>
      <c r="E1177" s="99"/>
      <c r="F1177" s="66" t="b">
        <v>0</v>
      </c>
      <c r="G1177" s="62"/>
    </row>
    <row r="1178" spans="1:7" ht="13.2">
      <c r="A1178" s="62"/>
      <c r="B1178" s="96"/>
      <c r="C1178" s="70"/>
      <c r="D1178" s="70"/>
      <c r="E1178" s="98"/>
      <c r="F1178" s="70" t="b">
        <v>0</v>
      </c>
      <c r="G1178" s="62"/>
    </row>
    <row r="1179" spans="1:7" ht="13.2">
      <c r="A1179" s="62"/>
      <c r="B1179" s="90"/>
      <c r="C1179" s="66"/>
      <c r="D1179" s="66"/>
      <c r="E1179" s="99"/>
      <c r="F1179" s="66" t="b">
        <v>0</v>
      </c>
      <c r="G1179" s="62"/>
    </row>
    <row r="1180" spans="1:7" ht="13.2">
      <c r="A1180" s="62"/>
      <c r="B1180" s="96"/>
      <c r="C1180" s="70"/>
      <c r="D1180" s="70"/>
      <c r="E1180" s="98"/>
      <c r="F1180" s="70" t="b">
        <v>0</v>
      </c>
      <c r="G1180" s="62"/>
    </row>
    <row r="1181" spans="1:7" ht="13.2">
      <c r="A1181" s="62"/>
      <c r="B1181" s="90"/>
      <c r="C1181" s="66"/>
      <c r="D1181" s="66"/>
      <c r="E1181" s="99"/>
      <c r="F1181" s="66" t="b">
        <v>0</v>
      </c>
      <c r="G1181" s="62"/>
    </row>
    <row r="1182" spans="1:7" ht="13.2">
      <c r="A1182" s="62"/>
      <c r="B1182" s="96"/>
      <c r="C1182" s="70"/>
      <c r="D1182" s="70"/>
      <c r="E1182" s="98"/>
      <c r="F1182" s="70" t="b">
        <v>0</v>
      </c>
      <c r="G1182" s="62"/>
    </row>
    <row r="1183" spans="1:7" ht="13.2">
      <c r="A1183" s="62"/>
      <c r="B1183" s="90"/>
      <c r="C1183" s="66"/>
      <c r="D1183" s="66"/>
      <c r="E1183" s="99"/>
      <c r="F1183" s="66" t="b">
        <v>0</v>
      </c>
      <c r="G1183" s="62"/>
    </row>
    <row r="1184" spans="1:7" ht="13.2">
      <c r="A1184" s="62"/>
      <c r="B1184" s="96"/>
      <c r="C1184" s="70"/>
      <c r="D1184" s="70"/>
      <c r="E1184" s="98"/>
      <c r="F1184" s="70" t="b">
        <v>0</v>
      </c>
      <c r="G1184" s="62"/>
    </row>
    <row r="1185" spans="1:7" ht="13.2">
      <c r="A1185" s="62"/>
      <c r="B1185" s="90"/>
      <c r="C1185" s="66"/>
      <c r="D1185" s="66"/>
      <c r="E1185" s="99"/>
      <c r="F1185" s="66" t="b">
        <v>0</v>
      </c>
      <c r="G1185" s="62"/>
    </row>
    <row r="1186" spans="1:7" ht="13.2">
      <c r="A1186" s="62"/>
      <c r="B1186" s="96"/>
      <c r="C1186" s="70"/>
      <c r="D1186" s="70"/>
      <c r="E1186" s="98"/>
      <c r="F1186" s="70" t="b">
        <v>0</v>
      </c>
      <c r="G1186" s="62"/>
    </row>
    <row r="1187" spans="1:7" ht="13.2">
      <c r="A1187" s="62"/>
      <c r="B1187" s="90"/>
      <c r="C1187" s="66"/>
      <c r="D1187" s="66"/>
      <c r="E1187" s="99"/>
      <c r="F1187" s="66" t="b">
        <v>0</v>
      </c>
      <c r="G1187" s="62"/>
    </row>
    <row r="1188" spans="1:7" ht="13.2">
      <c r="A1188" s="62"/>
      <c r="B1188" s="96"/>
      <c r="C1188" s="70"/>
      <c r="D1188" s="70"/>
      <c r="E1188" s="98"/>
      <c r="F1188" s="70" t="b">
        <v>0</v>
      </c>
      <c r="G1188" s="62"/>
    </row>
    <row r="1189" spans="1:7" ht="13.2">
      <c r="A1189" s="62"/>
      <c r="B1189" s="90"/>
      <c r="C1189" s="66"/>
      <c r="D1189" s="66"/>
      <c r="E1189" s="99"/>
      <c r="F1189" s="66" t="b">
        <v>0</v>
      </c>
      <c r="G1189" s="62"/>
    </row>
    <row r="1190" spans="1:7" ht="13.2">
      <c r="A1190" s="62"/>
      <c r="B1190" s="96"/>
      <c r="C1190" s="70"/>
      <c r="D1190" s="70"/>
      <c r="E1190" s="98"/>
      <c r="F1190" s="70" t="b">
        <v>0</v>
      </c>
      <c r="G1190" s="62"/>
    </row>
    <row r="1191" spans="1:7" ht="13.2">
      <c r="A1191" s="62"/>
      <c r="B1191" s="90"/>
      <c r="C1191" s="66"/>
      <c r="D1191" s="66"/>
      <c r="E1191" s="99"/>
      <c r="F1191" s="66" t="b">
        <v>0</v>
      </c>
      <c r="G1191" s="62"/>
    </row>
    <row r="1192" spans="1:7" ht="13.2">
      <c r="A1192" s="62"/>
      <c r="B1192" s="96"/>
      <c r="C1192" s="70"/>
      <c r="D1192" s="70"/>
      <c r="E1192" s="98"/>
      <c r="F1192" s="70" t="b">
        <v>0</v>
      </c>
      <c r="G1192" s="62"/>
    </row>
    <row r="1193" spans="1:7" ht="13.2">
      <c r="A1193" s="62"/>
      <c r="B1193" s="90"/>
      <c r="C1193" s="66"/>
      <c r="D1193" s="66"/>
      <c r="E1193" s="99"/>
      <c r="F1193" s="66" t="b">
        <v>0</v>
      </c>
      <c r="G1193" s="62"/>
    </row>
    <row r="1194" spans="1:7" ht="13.2">
      <c r="A1194" s="62"/>
      <c r="B1194" s="96"/>
      <c r="C1194" s="70"/>
      <c r="D1194" s="70"/>
      <c r="E1194" s="98"/>
      <c r="F1194" s="70" t="b">
        <v>0</v>
      </c>
      <c r="G1194" s="62"/>
    </row>
    <row r="1195" spans="1:7" ht="13.2">
      <c r="A1195" s="62"/>
      <c r="B1195" s="90"/>
      <c r="C1195" s="66"/>
      <c r="D1195" s="66"/>
      <c r="E1195" s="99"/>
      <c r="F1195" s="66" t="b">
        <v>0</v>
      </c>
      <c r="G1195" s="62"/>
    </row>
    <row r="1196" spans="1:7" ht="13.2">
      <c r="A1196" s="62"/>
      <c r="B1196" s="96"/>
      <c r="C1196" s="70"/>
      <c r="D1196" s="70"/>
      <c r="E1196" s="98"/>
      <c r="F1196" s="70" t="b">
        <v>0</v>
      </c>
      <c r="G1196" s="62"/>
    </row>
    <row r="1197" spans="1:7" ht="13.2">
      <c r="A1197" s="62"/>
      <c r="B1197" s="90"/>
      <c r="C1197" s="66"/>
      <c r="D1197" s="66"/>
      <c r="E1197" s="99"/>
      <c r="F1197" s="66" t="b">
        <v>0</v>
      </c>
      <c r="G1197" s="62"/>
    </row>
    <row r="1198" spans="1:7" ht="13.2">
      <c r="A1198" s="62"/>
      <c r="B1198" s="96"/>
      <c r="C1198" s="70"/>
      <c r="D1198" s="70"/>
      <c r="E1198" s="98"/>
      <c r="F1198" s="70" t="b">
        <v>0</v>
      </c>
      <c r="G1198" s="62"/>
    </row>
    <row r="1199" spans="1:7" ht="13.2">
      <c r="A1199" s="62"/>
      <c r="B1199" s="90"/>
      <c r="C1199" s="66"/>
      <c r="D1199" s="66"/>
      <c r="E1199" s="99"/>
      <c r="F1199" s="66" t="b">
        <v>0</v>
      </c>
      <c r="G1199" s="62"/>
    </row>
    <row r="1200" spans="1:7" ht="13.2">
      <c r="A1200" s="62"/>
      <c r="B1200" s="96"/>
      <c r="C1200" s="70"/>
      <c r="D1200" s="70"/>
      <c r="E1200" s="98"/>
      <c r="F1200" s="70" t="b">
        <v>0</v>
      </c>
      <c r="G1200" s="62"/>
    </row>
    <row r="1201" spans="1:7" ht="13.2">
      <c r="A1201" s="62"/>
      <c r="B1201" s="90"/>
      <c r="C1201" s="66"/>
      <c r="D1201" s="66"/>
      <c r="E1201" s="99"/>
      <c r="F1201" s="66" t="b">
        <v>0</v>
      </c>
      <c r="G1201" s="62"/>
    </row>
    <row r="1202" spans="1:7" ht="13.2">
      <c r="A1202" s="62"/>
      <c r="B1202" s="96"/>
      <c r="C1202" s="70"/>
      <c r="D1202" s="70"/>
      <c r="E1202" s="98"/>
      <c r="F1202" s="70" t="b">
        <v>0</v>
      </c>
      <c r="G1202" s="62"/>
    </row>
    <row r="1203" spans="1:7" ht="13.2">
      <c r="A1203" s="62"/>
      <c r="B1203" s="90"/>
      <c r="C1203" s="66"/>
      <c r="D1203" s="66"/>
      <c r="E1203" s="99"/>
      <c r="F1203" s="66" t="b">
        <v>0</v>
      </c>
      <c r="G1203" s="62"/>
    </row>
    <row r="1204" spans="1:7" ht="13.2">
      <c r="A1204" s="62"/>
      <c r="B1204" s="96"/>
      <c r="C1204" s="70"/>
      <c r="D1204" s="70"/>
      <c r="E1204" s="98"/>
      <c r="F1204" s="70" t="b">
        <v>0</v>
      </c>
      <c r="G1204" s="62"/>
    </row>
    <row r="1205" spans="1:7" ht="13.2">
      <c r="A1205" s="62"/>
      <c r="B1205" s="90"/>
      <c r="C1205" s="66"/>
      <c r="D1205" s="66"/>
      <c r="E1205" s="99"/>
      <c r="F1205" s="66" t="b">
        <v>0</v>
      </c>
      <c r="G1205" s="62"/>
    </row>
    <row r="1206" spans="1:7" ht="13.2">
      <c r="A1206" s="62"/>
      <c r="B1206" s="96"/>
      <c r="C1206" s="70"/>
      <c r="D1206" s="70"/>
      <c r="E1206" s="98"/>
      <c r="F1206" s="70" t="b">
        <v>0</v>
      </c>
      <c r="G1206" s="62"/>
    </row>
    <row r="1207" spans="1:7" ht="13.2">
      <c r="A1207" s="62"/>
      <c r="B1207" s="90"/>
      <c r="C1207" s="66"/>
      <c r="D1207" s="66"/>
      <c r="E1207" s="99"/>
      <c r="F1207" s="66" t="b">
        <v>0</v>
      </c>
      <c r="G1207" s="62"/>
    </row>
    <row r="1208" spans="1:7" ht="13.2">
      <c r="A1208" s="62"/>
      <c r="B1208" s="96"/>
      <c r="C1208" s="70"/>
      <c r="D1208" s="70"/>
      <c r="E1208" s="98"/>
      <c r="F1208" s="70" t="b">
        <v>0</v>
      </c>
      <c r="G1208" s="62"/>
    </row>
    <row r="1209" spans="1:7" ht="13.2">
      <c r="A1209" s="62"/>
      <c r="B1209" s="90"/>
      <c r="C1209" s="66"/>
      <c r="D1209" s="66"/>
      <c r="E1209" s="99"/>
      <c r="F1209" s="66" t="b">
        <v>0</v>
      </c>
      <c r="G1209" s="62"/>
    </row>
    <row r="1210" spans="1:7" ht="13.2">
      <c r="A1210" s="62"/>
      <c r="B1210" s="96"/>
      <c r="C1210" s="70"/>
      <c r="D1210" s="70"/>
      <c r="E1210" s="98"/>
      <c r="F1210" s="70" t="b">
        <v>0</v>
      </c>
      <c r="G1210" s="62"/>
    </row>
    <row r="1211" spans="1:7" ht="13.2">
      <c r="A1211" s="62"/>
      <c r="B1211" s="90"/>
      <c r="C1211" s="66"/>
      <c r="D1211" s="66"/>
      <c r="E1211" s="99"/>
      <c r="F1211" s="66" t="b">
        <v>0</v>
      </c>
      <c r="G1211" s="62"/>
    </row>
    <row r="1212" spans="1:7" ht="13.2">
      <c r="A1212" s="62"/>
      <c r="B1212" s="96"/>
      <c r="C1212" s="70"/>
      <c r="D1212" s="70"/>
      <c r="E1212" s="98"/>
      <c r="F1212" s="70" t="b">
        <v>0</v>
      </c>
      <c r="G1212" s="62"/>
    </row>
    <row r="1213" spans="1:7" ht="13.2">
      <c r="A1213" s="62"/>
      <c r="B1213" s="90"/>
      <c r="C1213" s="66"/>
      <c r="D1213" s="66"/>
      <c r="E1213" s="99"/>
      <c r="F1213" s="66" t="b">
        <v>0</v>
      </c>
      <c r="G1213" s="62"/>
    </row>
    <row r="1214" spans="1:7" ht="13.2">
      <c r="A1214" s="62"/>
      <c r="B1214" s="96"/>
      <c r="C1214" s="70"/>
      <c r="D1214" s="70"/>
      <c r="E1214" s="98"/>
      <c r="F1214" s="70" t="b">
        <v>0</v>
      </c>
      <c r="G1214" s="62"/>
    </row>
    <row r="1215" spans="1:7" ht="13.2">
      <c r="A1215" s="62"/>
      <c r="B1215" s="90"/>
      <c r="C1215" s="66"/>
      <c r="D1215" s="66"/>
      <c r="E1215" s="99"/>
      <c r="F1215" s="66" t="b">
        <v>0</v>
      </c>
      <c r="G1215" s="62"/>
    </row>
    <row r="1216" spans="1:7" ht="13.2">
      <c r="A1216" s="62"/>
      <c r="B1216" s="96"/>
      <c r="C1216" s="70"/>
      <c r="D1216" s="70"/>
      <c r="E1216" s="98"/>
      <c r="F1216" s="70" t="b">
        <v>0</v>
      </c>
      <c r="G1216" s="62"/>
    </row>
    <row r="1217" spans="1:7" ht="13.2">
      <c r="A1217" s="62"/>
      <c r="B1217" s="90"/>
      <c r="C1217" s="66"/>
      <c r="D1217" s="66"/>
      <c r="E1217" s="99"/>
      <c r="F1217" s="66" t="b">
        <v>0</v>
      </c>
      <c r="G1217" s="62"/>
    </row>
    <row r="1218" spans="1:7" ht="13.2">
      <c r="A1218" s="62"/>
      <c r="B1218" s="96"/>
      <c r="C1218" s="70"/>
      <c r="D1218" s="70"/>
      <c r="E1218" s="98"/>
      <c r="F1218" s="70" t="b">
        <v>0</v>
      </c>
      <c r="G1218" s="62"/>
    </row>
    <row r="1219" spans="1:7" ht="13.2">
      <c r="A1219" s="62"/>
      <c r="B1219" s="90"/>
      <c r="C1219" s="66"/>
      <c r="D1219" s="66"/>
      <c r="E1219" s="99"/>
      <c r="F1219" s="66" t="b">
        <v>0</v>
      </c>
      <c r="G1219" s="62"/>
    </row>
    <row r="1220" spans="1:7" ht="13.2">
      <c r="A1220" s="62"/>
      <c r="B1220" s="96"/>
      <c r="C1220" s="70"/>
      <c r="D1220" s="70"/>
      <c r="E1220" s="98"/>
      <c r="F1220" s="70" t="b">
        <v>0</v>
      </c>
      <c r="G1220" s="62"/>
    </row>
    <row r="1221" spans="1:7" ht="13.2">
      <c r="A1221" s="62"/>
      <c r="B1221" s="90"/>
      <c r="C1221" s="66"/>
      <c r="D1221" s="66"/>
      <c r="E1221" s="99"/>
      <c r="F1221" s="66" t="b">
        <v>0</v>
      </c>
      <c r="G1221" s="62"/>
    </row>
    <row r="1222" spans="1:7" ht="13.2">
      <c r="A1222" s="62"/>
      <c r="B1222" s="96"/>
      <c r="C1222" s="70"/>
      <c r="D1222" s="70"/>
      <c r="E1222" s="98"/>
      <c r="F1222" s="70" t="b">
        <v>0</v>
      </c>
      <c r="G1222" s="62"/>
    </row>
    <row r="1223" spans="1:7" ht="13.2">
      <c r="A1223" s="62"/>
      <c r="B1223" s="90"/>
      <c r="C1223" s="66"/>
      <c r="D1223" s="66"/>
      <c r="E1223" s="99"/>
      <c r="F1223" s="66" t="b">
        <v>0</v>
      </c>
      <c r="G1223" s="62"/>
    </row>
    <row r="1224" spans="1:7" ht="13.2">
      <c r="A1224" s="62"/>
      <c r="B1224" s="96"/>
      <c r="C1224" s="70"/>
      <c r="D1224" s="70"/>
      <c r="E1224" s="98"/>
      <c r="F1224" s="70" t="b">
        <v>0</v>
      </c>
      <c r="G1224" s="62"/>
    </row>
    <row r="1225" spans="1:7" ht="13.2">
      <c r="A1225" s="62"/>
      <c r="B1225" s="90"/>
      <c r="C1225" s="66"/>
      <c r="D1225" s="66"/>
      <c r="E1225" s="99"/>
      <c r="F1225" s="66" t="b">
        <v>0</v>
      </c>
      <c r="G1225" s="62"/>
    </row>
    <row r="1226" spans="1:7" ht="13.2">
      <c r="A1226" s="62"/>
      <c r="B1226" s="96"/>
      <c r="C1226" s="70"/>
      <c r="D1226" s="70"/>
      <c r="E1226" s="98"/>
      <c r="F1226" s="70" t="b">
        <v>0</v>
      </c>
      <c r="G1226" s="62"/>
    </row>
    <row r="1227" spans="1:7" ht="13.2">
      <c r="A1227" s="62"/>
      <c r="B1227" s="90"/>
      <c r="C1227" s="66"/>
      <c r="D1227" s="66"/>
      <c r="E1227" s="99"/>
      <c r="F1227" s="66" t="b">
        <v>0</v>
      </c>
      <c r="G1227" s="62"/>
    </row>
    <row r="1228" spans="1:7" ht="13.2">
      <c r="A1228" s="62"/>
      <c r="B1228" s="96"/>
      <c r="C1228" s="70"/>
      <c r="D1228" s="70"/>
      <c r="E1228" s="98"/>
      <c r="F1228" s="70" t="b">
        <v>0</v>
      </c>
      <c r="G1228" s="62"/>
    </row>
    <row r="1229" spans="1:7" ht="13.2">
      <c r="A1229" s="62"/>
      <c r="B1229" s="90"/>
      <c r="C1229" s="66"/>
      <c r="D1229" s="66"/>
      <c r="E1229" s="99"/>
      <c r="F1229" s="66" t="b">
        <v>0</v>
      </c>
      <c r="G1229" s="62"/>
    </row>
    <row r="1230" spans="1:7" ht="13.2">
      <c r="A1230" s="62"/>
      <c r="B1230" s="96"/>
      <c r="C1230" s="70"/>
      <c r="D1230" s="70"/>
      <c r="E1230" s="98"/>
      <c r="F1230" s="70" t="b">
        <v>0</v>
      </c>
      <c r="G1230" s="62"/>
    </row>
    <row r="1231" spans="1:7" ht="13.2">
      <c r="A1231" s="62"/>
      <c r="B1231" s="90"/>
      <c r="C1231" s="66"/>
      <c r="D1231" s="66"/>
      <c r="E1231" s="99"/>
      <c r="F1231" s="66" t="b">
        <v>0</v>
      </c>
      <c r="G1231" s="62"/>
    </row>
    <row r="1232" spans="1:7" ht="13.2">
      <c r="A1232" s="62"/>
      <c r="B1232" s="96"/>
      <c r="C1232" s="70"/>
      <c r="D1232" s="70"/>
      <c r="E1232" s="98"/>
      <c r="F1232" s="70" t="b">
        <v>0</v>
      </c>
      <c r="G1232" s="62"/>
    </row>
    <row r="1233" spans="1:7" ht="13.2">
      <c r="A1233" s="62"/>
      <c r="B1233" s="90"/>
      <c r="C1233" s="66"/>
      <c r="D1233" s="66"/>
      <c r="E1233" s="99"/>
      <c r="F1233" s="66" t="b">
        <v>0</v>
      </c>
      <c r="G1233" s="62"/>
    </row>
    <row r="1234" spans="1:7" ht="13.2">
      <c r="A1234" s="62"/>
      <c r="B1234" s="96"/>
      <c r="C1234" s="70"/>
      <c r="D1234" s="70"/>
      <c r="E1234" s="98"/>
      <c r="F1234" s="70" t="b">
        <v>0</v>
      </c>
      <c r="G1234" s="62"/>
    </row>
    <row r="1235" spans="1:7" ht="13.2">
      <c r="A1235" s="62"/>
      <c r="B1235" s="90"/>
      <c r="C1235" s="66"/>
      <c r="D1235" s="66"/>
      <c r="E1235" s="99"/>
      <c r="F1235" s="66" t="b">
        <v>0</v>
      </c>
      <c r="G1235" s="62"/>
    </row>
    <row r="1236" spans="1:7" ht="13.2">
      <c r="A1236" s="62"/>
      <c r="B1236" s="96"/>
      <c r="C1236" s="70"/>
      <c r="D1236" s="70"/>
      <c r="E1236" s="98"/>
      <c r="F1236" s="70" t="b">
        <v>0</v>
      </c>
      <c r="G1236" s="62"/>
    </row>
    <row r="1237" spans="1:7" ht="13.2">
      <c r="A1237" s="62"/>
      <c r="B1237" s="90"/>
      <c r="C1237" s="66"/>
      <c r="D1237" s="66"/>
      <c r="E1237" s="99"/>
      <c r="F1237" s="66" t="b">
        <v>0</v>
      </c>
      <c r="G1237" s="62"/>
    </row>
    <row r="1238" spans="1:7" ht="13.2">
      <c r="A1238" s="62"/>
      <c r="B1238" s="96"/>
      <c r="C1238" s="70"/>
      <c r="D1238" s="70"/>
      <c r="E1238" s="98"/>
      <c r="F1238" s="70" t="b">
        <v>0</v>
      </c>
      <c r="G1238" s="62"/>
    </row>
    <row r="1239" spans="1:7" ht="13.2">
      <c r="A1239" s="62"/>
      <c r="B1239" s="90"/>
      <c r="C1239" s="66"/>
      <c r="D1239" s="66"/>
      <c r="E1239" s="99"/>
      <c r="F1239" s="66" t="b">
        <v>0</v>
      </c>
      <c r="G1239" s="62"/>
    </row>
    <row r="1240" spans="1:7" ht="13.2">
      <c r="A1240" s="62"/>
      <c r="B1240" s="96"/>
      <c r="C1240" s="70"/>
      <c r="D1240" s="70"/>
      <c r="E1240" s="98"/>
      <c r="F1240" s="70" t="b">
        <v>0</v>
      </c>
      <c r="G1240" s="62"/>
    </row>
    <row r="1241" spans="1:7" ht="13.2">
      <c r="A1241" s="62"/>
      <c r="B1241" s="90"/>
      <c r="C1241" s="66"/>
      <c r="D1241" s="66"/>
      <c r="E1241" s="99"/>
      <c r="F1241" s="66" t="b">
        <v>0</v>
      </c>
      <c r="G1241" s="62"/>
    </row>
    <row r="1242" spans="1:7" ht="13.2">
      <c r="A1242" s="62"/>
      <c r="B1242" s="96"/>
      <c r="C1242" s="70"/>
      <c r="D1242" s="70"/>
      <c r="E1242" s="98"/>
      <c r="F1242" s="70" t="b">
        <v>0</v>
      </c>
      <c r="G1242" s="62"/>
    </row>
    <row r="1243" spans="1:7" ht="13.2">
      <c r="A1243" s="62"/>
      <c r="B1243" s="90"/>
      <c r="C1243" s="66"/>
      <c r="D1243" s="66"/>
      <c r="E1243" s="99"/>
      <c r="F1243" s="66" t="b">
        <v>0</v>
      </c>
      <c r="G1243" s="62"/>
    </row>
    <row r="1244" spans="1:7" ht="13.2">
      <c r="A1244" s="62"/>
      <c r="B1244" s="96"/>
      <c r="C1244" s="70"/>
      <c r="D1244" s="70"/>
      <c r="E1244" s="98"/>
      <c r="F1244" s="70" t="b">
        <v>0</v>
      </c>
      <c r="G1244" s="62"/>
    </row>
    <row r="1245" spans="1:7" ht="13.2">
      <c r="A1245" s="62"/>
      <c r="B1245" s="90"/>
      <c r="C1245" s="66"/>
      <c r="D1245" s="66"/>
      <c r="E1245" s="99"/>
      <c r="F1245" s="66" t="b">
        <v>0</v>
      </c>
      <c r="G1245" s="62"/>
    </row>
    <row r="1246" spans="1:7" ht="13.2">
      <c r="A1246" s="62"/>
      <c r="B1246" s="96"/>
      <c r="C1246" s="70"/>
      <c r="D1246" s="70"/>
      <c r="E1246" s="98"/>
      <c r="F1246" s="70" t="b">
        <v>0</v>
      </c>
      <c r="G1246" s="62"/>
    </row>
    <row r="1247" spans="1:7" ht="13.2">
      <c r="A1247" s="62"/>
      <c r="B1247" s="90"/>
      <c r="C1247" s="66"/>
      <c r="D1247" s="66"/>
      <c r="E1247" s="99"/>
      <c r="F1247" s="66" t="b">
        <v>0</v>
      </c>
      <c r="G1247" s="62"/>
    </row>
    <row r="1248" spans="1:7" ht="13.2">
      <c r="A1248" s="62"/>
      <c r="B1248" s="96"/>
      <c r="C1248" s="70"/>
      <c r="D1248" s="70"/>
      <c r="E1248" s="98"/>
      <c r="F1248" s="70" t="b">
        <v>0</v>
      </c>
      <c r="G1248" s="62"/>
    </row>
    <row r="1249" spans="1:7" ht="13.2">
      <c r="A1249" s="62"/>
      <c r="B1249" s="90"/>
      <c r="C1249" s="66"/>
      <c r="D1249" s="66"/>
      <c r="E1249" s="99"/>
      <c r="F1249" s="66" t="b">
        <v>0</v>
      </c>
      <c r="G1249" s="62"/>
    </row>
    <row r="1250" spans="1:7" ht="13.2">
      <c r="A1250" s="62"/>
      <c r="B1250" s="96"/>
      <c r="C1250" s="70"/>
      <c r="D1250" s="70"/>
      <c r="E1250" s="98"/>
      <c r="F1250" s="70" t="b">
        <v>0</v>
      </c>
      <c r="G1250" s="62"/>
    </row>
    <row r="1251" spans="1:7" ht="13.2">
      <c r="A1251" s="62"/>
      <c r="B1251" s="90"/>
      <c r="C1251" s="66"/>
      <c r="D1251" s="66"/>
      <c r="E1251" s="99"/>
      <c r="F1251" s="66" t="b">
        <v>0</v>
      </c>
      <c r="G1251" s="62"/>
    </row>
    <row r="1252" spans="1:7" ht="13.2">
      <c r="A1252" s="62"/>
      <c r="B1252" s="96"/>
      <c r="C1252" s="70"/>
      <c r="D1252" s="70"/>
      <c r="E1252" s="98"/>
      <c r="F1252" s="70" t="b">
        <v>0</v>
      </c>
      <c r="G1252" s="62"/>
    </row>
    <row r="1253" spans="1:7" ht="13.2">
      <c r="A1253" s="62"/>
      <c r="B1253" s="90"/>
      <c r="C1253" s="66"/>
      <c r="D1253" s="66"/>
      <c r="E1253" s="99"/>
      <c r="F1253" s="66" t="b">
        <v>0</v>
      </c>
      <c r="G1253" s="62"/>
    </row>
    <row r="1254" spans="1:7" ht="13.2">
      <c r="A1254" s="62"/>
      <c r="B1254" s="96"/>
      <c r="C1254" s="70"/>
      <c r="D1254" s="70"/>
      <c r="E1254" s="98"/>
      <c r="F1254" s="70" t="b">
        <v>0</v>
      </c>
      <c r="G1254" s="62"/>
    </row>
    <row r="1255" spans="1:7" ht="13.2">
      <c r="A1255" s="62"/>
      <c r="B1255" s="90"/>
      <c r="C1255" s="66"/>
      <c r="D1255" s="66"/>
      <c r="E1255" s="99"/>
      <c r="F1255" s="66" t="b">
        <v>0</v>
      </c>
      <c r="G1255" s="62"/>
    </row>
    <row r="1256" spans="1:7" ht="13.2">
      <c r="A1256" s="62"/>
      <c r="B1256" s="96"/>
      <c r="C1256" s="70"/>
      <c r="D1256" s="70"/>
      <c r="E1256" s="98"/>
      <c r="F1256" s="70" t="b">
        <v>0</v>
      </c>
      <c r="G1256" s="62"/>
    </row>
    <row r="1257" spans="1:7" ht="13.2">
      <c r="A1257" s="62"/>
      <c r="B1257" s="90"/>
      <c r="C1257" s="66"/>
      <c r="D1257" s="66"/>
      <c r="E1257" s="99"/>
      <c r="F1257" s="66" t="b">
        <v>0</v>
      </c>
      <c r="G1257" s="62"/>
    </row>
    <row r="1258" spans="1:7" ht="13.2">
      <c r="A1258" s="62"/>
      <c r="B1258" s="96"/>
      <c r="C1258" s="70"/>
      <c r="D1258" s="70"/>
      <c r="E1258" s="98"/>
      <c r="F1258" s="70" t="b">
        <v>0</v>
      </c>
      <c r="G1258" s="62"/>
    </row>
    <row r="1259" spans="1:7" ht="13.2">
      <c r="A1259" s="62"/>
      <c r="B1259" s="90"/>
      <c r="C1259" s="66"/>
      <c r="D1259" s="66"/>
      <c r="E1259" s="99"/>
      <c r="F1259" s="66" t="b">
        <v>0</v>
      </c>
      <c r="G1259" s="62"/>
    </row>
    <row r="1260" spans="1:7" ht="13.2">
      <c r="A1260" s="62"/>
      <c r="B1260" s="96"/>
      <c r="C1260" s="70"/>
      <c r="D1260" s="70"/>
      <c r="E1260" s="98"/>
      <c r="F1260" s="70" t="b">
        <v>0</v>
      </c>
      <c r="G1260" s="62"/>
    </row>
    <row r="1261" spans="1:7" ht="13.2">
      <c r="A1261" s="62"/>
      <c r="B1261" s="90"/>
      <c r="C1261" s="66"/>
      <c r="D1261" s="66"/>
      <c r="E1261" s="99"/>
      <c r="F1261" s="66" t="b">
        <v>0</v>
      </c>
      <c r="G1261" s="62"/>
    </row>
    <row r="1262" spans="1:7" ht="13.2">
      <c r="A1262" s="62"/>
      <c r="B1262" s="96"/>
      <c r="C1262" s="70"/>
      <c r="D1262" s="70"/>
      <c r="E1262" s="98"/>
      <c r="F1262" s="70" t="b">
        <v>0</v>
      </c>
      <c r="G1262" s="62"/>
    </row>
    <row r="1263" spans="1:7" ht="13.2">
      <c r="A1263" s="62"/>
      <c r="B1263" s="90"/>
      <c r="C1263" s="66"/>
      <c r="D1263" s="66"/>
      <c r="E1263" s="99"/>
      <c r="F1263" s="66" t="b">
        <v>0</v>
      </c>
      <c r="G1263" s="62"/>
    </row>
    <row r="1264" spans="1:7" ht="13.2">
      <c r="A1264" s="62"/>
      <c r="B1264" s="96"/>
      <c r="C1264" s="70"/>
      <c r="D1264" s="70"/>
      <c r="E1264" s="98"/>
      <c r="F1264" s="70" t="b">
        <v>0</v>
      </c>
      <c r="G1264" s="62"/>
    </row>
    <row r="1265" spans="1:7" ht="13.2">
      <c r="A1265" s="62"/>
      <c r="B1265" s="90"/>
      <c r="C1265" s="66"/>
      <c r="D1265" s="66"/>
      <c r="E1265" s="99"/>
      <c r="F1265" s="66" t="b">
        <v>0</v>
      </c>
      <c r="G1265" s="62"/>
    </row>
    <row r="1266" spans="1:7" ht="13.2">
      <c r="A1266" s="62"/>
      <c r="B1266" s="96"/>
      <c r="C1266" s="70"/>
      <c r="D1266" s="70"/>
      <c r="E1266" s="98"/>
      <c r="F1266" s="70" t="b">
        <v>0</v>
      </c>
      <c r="G1266" s="62"/>
    </row>
    <row r="1267" spans="1:7" ht="13.2">
      <c r="A1267" s="62"/>
      <c r="B1267" s="90"/>
      <c r="C1267" s="66"/>
      <c r="D1267" s="66"/>
      <c r="E1267" s="99"/>
      <c r="F1267" s="66" t="b">
        <v>0</v>
      </c>
      <c r="G1267" s="62"/>
    </row>
    <row r="1268" spans="1:7" ht="13.2">
      <c r="A1268" s="62"/>
      <c r="B1268" s="96"/>
      <c r="C1268" s="70"/>
      <c r="D1268" s="70"/>
      <c r="E1268" s="98"/>
      <c r="F1268" s="70" t="b">
        <v>0</v>
      </c>
      <c r="G1268" s="62"/>
    </row>
    <row r="1269" spans="1:7" ht="13.2">
      <c r="A1269" s="62"/>
      <c r="B1269" s="90"/>
      <c r="C1269" s="66"/>
      <c r="D1269" s="66"/>
      <c r="E1269" s="99"/>
      <c r="F1269" s="66" t="b">
        <v>0</v>
      </c>
      <c r="G1269" s="62"/>
    </row>
    <row r="1270" spans="1:7" ht="13.2">
      <c r="A1270" s="62"/>
      <c r="B1270" s="96"/>
      <c r="C1270" s="70"/>
      <c r="D1270" s="70"/>
      <c r="E1270" s="98"/>
      <c r="F1270" s="70" t="b">
        <v>0</v>
      </c>
      <c r="G1270" s="62"/>
    </row>
    <row r="1271" spans="1:7" ht="13.2">
      <c r="A1271" s="62"/>
      <c r="B1271" s="90"/>
      <c r="C1271" s="66"/>
      <c r="D1271" s="66"/>
      <c r="E1271" s="99"/>
      <c r="F1271" s="66" t="b">
        <v>0</v>
      </c>
      <c r="G1271" s="62"/>
    </row>
    <row r="1272" spans="1:7" ht="13.2">
      <c r="A1272" s="62"/>
      <c r="B1272" s="96"/>
      <c r="C1272" s="70"/>
      <c r="D1272" s="70"/>
      <c r="E1272" s="98"/>
      <c r="F1272" s="70" t="b">
        <v>0</v>
      </c>
      <c r="G1272" s="62"/>
    </row>
    <row r="1273" spans="1:7" ht="13.2">
      <c r="A1273" s="62"/>
      <c r="B1273" s="90"/>
      <c r="C1273" s="66"/>
      <c r="D1273" s="66"/>
      <c r="E1273" s="99"/>
      <c r="F1273" s="66" t="b">
        <v>0</v>
      </c>
      <c r="G1273" s="62"/>
    </row>
    <row r="1274" spans="1:7" ht="13.2">
      <c r="A1274" s="62"/>
      <c r="B1274" s="96"/>
      <c r="C1274" s="70"/>
      <c r="D1274" s="70"/>
      <c r="E1274" s="98"/>
      <c r="F1274" s="70" t="b">
        <v>0</v>
      </c>
      <c r="G1274" s="62"/>
    </row>
    <row r="1275" spans="1:7" ht="13.2">
      <c r="A1275" s="62"/>
      <c r="B1275" s="90"/>
      <c r="C1275" s="66"/>
      <c r="D1275" s="66"/>
      <c r="E1275" s="99"/>
      <c r="F1275" s="66" t="b">
        <v>0</v>
      </c>
      <c r="G1275" s="62"/>
    </row>
    <row r="1276" spans="1:7" ht="13.2">
      <c r="A1276" s="62"/>
      <c r="B1276" s="96"/>
      <c r="C1276" s="70"/>
      <c r="D1276" s="70"/>
      <c r="E1276" s="98"/>
      <c r="F1276" s="70" t="b">
        <v>0</v>
      </c>
      <c r="G1276" s="62"/>
    </row>
    <row r="1277" spans="1:7" ht="13.2">
      <c r="A1277" s="62"/>
      <c r="B1277" s="90"/>
      <c r="C1277" s="66"/>
      <c r="D1277" s="66"/>
      <c r="E1277" s="99"/>
      <c r="F1277" s="66" t="b">
        <v>0</v>
      </c>
      <c r="G1277" s="62"/>
    </row>
    <row r="1278" spans="1:7" ht="13.2">
      <c r="A1278" s="62"/>
      <c r="B1278" s="96"/>
      <c r="C1278" s="70"/>
      <c r="D1278" s="70"/>
      <c r="E1278" s="98"/>
      <c r="F1278" s="70" t="b">
        <v>0</v>
      </c>
      <c r="G1278" s="62"/>
    </row>
    <row r="1279" spans="1:7" ht="13.2">
      <c r="A1279" s="62"/>
      <c r="B1279" s="90"/>
      <c r="C1279" s="66"/>
      <c r="D1279" s="66"/>
      <c r="E1279" s="99"/>
      <c r="F1279" s="66" t="b">
        <v>0</v>
      </c>
      <c r="G1279" s="62"/>
    </row>
  </sheetData>
  <autoFilter ref="B2:F1279" xr:uid="{00000000-0009-0000-0000-000005000000}"/>
  <customSheetViews>
    <customSheetView guid="{E64EA611-DF25-4070-8E94-D094A67D2B4A}" filter="1" showAutoFilter="1">
      <pageMargins left="0.511811024" right="0.511811024" top="0.78740157499999996" bottom="0.78740157499999996" header="0.31496062000000002" footer="0.31496062000000002"/>
      <autoFilter ref="B2:F1279" xr:uid="{540E19D6-63AF-495D-A4B8-3831A7CBFEE9}"/>
    </customSheetView>
  </customSheetViews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DropDown="1" showErrorMessage="1" xr:uid="{00000000-0002-0000-0500-000000000000}">
          <x14:formula1>
            <xm:f>#REF!</xm:f>
          </x14:formula1>
          <xm:sqref>C330:C1279</xm:sqref>
        </x14:dataValidation>
        <x14:dataValidation type="list" allowBlank="1" showDropDown="1" showErrorMessage="1" xr:uid="{00000000-0002-0000-0500-000001000000}">
          <x14:formula1>
            <xm:f>#REF!</xm:f>
          </x14:formula1>
          <xm:sqref>C3:C329</xm:sqref>
        </x14:dataValidation>
        <x14:dataValidation type="list" allowBlank="1" showDropDown="1" showErrorMessage="1" xr:uid="{00000000-0002-0000-0500-000002000000}">
          <x14:formula1>
            <xm:f>Mensal!$E$2:$P$2</xm:f>
          </x14:formula1>
          <xm:sqref>D3:D1279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Cripto</vt:lpstr>
      <vt:lpstr>Mensal</vt:lpstr>
      <vt:lpstr>Lançamentos</vt:lpstr>
      <vt:lpstr>Pagamentos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2026-08-09T16:48:49Z</dcterms:created>
  <dcterms:modified xsi:type="dcterms:W3CDTF">2026-08-09T16:48:49Z</dcterms:modified>
</cp:coreProperties>
</file>